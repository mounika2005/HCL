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se Data &amp; Metrics" sheetId="1" state="visible" r:id="rId3"/>
    <sheet name="Solved Problems" sheetId="2" state="visible" r:id="rId4"/>
    <sheet name="Test Cases" sheetId="3" state="visible" r:id="rId5"/>
    <sheet name="Formula Sheet" sheetId="4" state="visible" r:id="rId6"/>
    <sheet name="Defect Log" sheetId="5" state="visible" r:id="rId7"/>
    <sheet name="Traceability Matrix" sheetId="6" state="visible" r:id="rId8"/>
  </sheets>
  <definedNames>
    <definedName function="false" hidden="true" localSheetId="4" name="_xlnm._FilterDatabase" vbProcedure="false">'Defect Log'!$A$1:$G$21</definedName>
    <definedName function="false" hidden="true" localSheetId="2" name="_xlnm._FilterDatabase" vbProcedure="false">'Test Cases'!$A$1:$F$56</definedName>
    <definedName function="false" hidden="true" localSheetId="5" name="_xlnm._FilterDatabase" vbProcedure="false">'Traceability Matrix'!$A$1:$E$24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<sst xmlns="http://schemas.openxmlformats.org/spreadsheetml/2006/main" count="748" uniqueCount="478">
  <si>
    <t xml:space="preserve">Flipkart Project Base Data</t>
  </si>
  <si>
    <t xml:space="preserve">Value</t>
  </si>
  <si>
    <t xml:space="preserve">Total Requirements</t>
  </si>
  <si>
    <t xml:space="preserve">Requirements Tested</t>
  </si>
  <si>
    <t xml:space="preserve">Total Test Cases</t>
  </si>
  <si>
    <t xml:space="preserve">Test Cases Executed</t>
  </si>
  <si>
    <t xml:space="preserve">Passed Test Cases</t>
  </si>
  <si>
    <t xml:space="preserve">Failed Test Cases</t>
  </si>
  <si>
    <t xml:space="preserve">Pending Test Cases</t>
  </si>
  <si>
    <t xml:space="preserve">Module Code Base (LOC)</t>
  </si>
  <si>
    <t xml:space="preserve">Total Defects</t>
  </si>
  <si>
    <t xml:space="preserve">Critical Defects</t>
  </si>
  <si>
    <t xml:space="preserve">Calculated Metrics</t>
  </si>
  <si>
    <t xml:space="preserve">Formula Used</t>
  </si>
  <si>
    <t xml:space="preserve">Test Coverage (%)</t>
  </si>
  <si>
    <t xml:space="preserve">(Requirements Tested ÷ Total Requirements) × 100</t>
  </si>
  <si>
    <t xml:space="preserve">Test Execution (%)</t>
  </si>
  <si>
    <t xml:space="preserve">(Executed ÷ Total Test Cases) × 100</t>
  </si>
  <si>
    <t xml:space="preserve">Pass Rate (%)</t>
  </si>
  <si>
    <t xml:space="preserve">(Passed ÷ Executed) × 100</t>
  </si>
  <si>
    <t xml:space="preserve">Fail Rate (%)</t>
  </si>
  <si>
    <t xml:space="preserve">(Failed ÷ Executed) × 100</t>
  </si>
  <si>
    <t xml:space="preserve">KLOC</t>
  </si>
  <si>
    <t xml:space="preserve">LOC ÷ 1000</t>
  </si>
  <si>
    <t xml:space="preserve">Defect Density (defects/KLOC)</t>
  </si>
  <si>
    <t xml:space="preserve">Defects ÷ KLOC</t>
  </si>
  <si>
    <t xml:space="preserve">Critical Defect (%)</t>
  </si>
  <si>
    <t xml:space="preserve">(Critical ÷ Total Defects) × 100</t>
  </si>
  <si>
    <t xml:space="preserve">Test Case Suite Summary (55 cases)</t>
  </si>
  <si>
    <t xml:space="preserve">Test cases in suite</t>
  </si>
  <si>
    <t xml:space="preserve">Passed in suite</t>
  </si>
  <si>
    <t xml:space="preserve">Failed in suite</t>
  </si>
  <si>
    <t xml:space="preserve">Pass Rate of suite (%)</t>
  </si>
  <si>
    <t xml:space="preserve">Fail Rate of suite (%)</t>
  </si>
  <si>
    <t xml:space="preserve">Note: the 55-case suite is a sample list; the project figures above (300 / 240 / 192 / 48) are the overall project scenario used in the problems.</t>
  </si>
  <si>
    <t xml:space="preserve">No.</t>
  </si>
  <si>
    <t xml:space="preserve">Topic</t>
  </si>
  <si>
    <t xml:space="preserve">Problem Statement</t>
  </si>
  <si>
    <t xml:space="preserve">Formula</t>
  </si>
  <si>
    <t xml:space="preserve">Solution</t>
  </si>
  <si>
    <t xml:space="preserve">Answer</t>
  </si>
  <si>
    <t xml:space="preserve">Result (calculated)</t>
  </si>
  <si>
    <t xml:space="preserve">1</t>
  </si>
  <si>
    <t xml:space="preserve">Test Coverage</t>
  </si>
  <si>
    <t xml:space="preserve">The Flipkart project has 100 requirements. The testing team has tested 90 requirements. Calculate the Test Coverage.</t>
  </si>
  <si>
    <t xml:space="preserve">(90 ÷ 100) × 100 = 90%</t>
  </si>
  <si>
    <t xml:space="preserve">Test Coverage = 90%</t>
  </si>
  <si>
    <t xml:space="preserve">2</t>
  </si>
  <si>
    <t xml:space="preserve">Test Execution %</t>
  </si>
  <si>
    <t xml:space="preserve">Out of 300 total test cases, the team has executed 240. Calculate the Test Execution percentage.</t>
  </si>
  <si>
    <t xml:space="preserve">(Executed Test Cases ÷ Total Test Cases) × 100</t>
  </si>
  <si>
    <t xml:space="preserve">(240 ÷ 300) × 100 = 80%</t>
  </si>
  <si>
    <t xml:space="preserve">Test Execution = 80%</t>
  </si>
  <si>
    <t xml:space="preserve">3</t>
  </si>
  <si>
    <t xml:space="preserve">Pass Rate</t>
  </si>
  <si>
    <t xml:space="preserve">From the 240 executed test cases, 192 passed. Calculate the Pass Rate.</t>
  </si>
  <si>
    <t xml:space="preserve">(192 ÷ 240) × 100 = 80%</t>
  </si>
  <si>
    <t xml:space="preserve">Pass Rate = 80%</t>
  </si>
  <si>
    <t xml:space="preserve">4</t>
  </si>
  <si>
    <t xml:space="preserve">Fail Rate</t>
  </si>
  <si>
    <t xml:space="preserve">Using the same data (240 executed, 48 failed), calculate the Fail Rate.</t>
  </si>
  <si>
    <t xml:space="preserve">(48 ÷ 240) × 100 = 20%</t>
  </si>
  <si>
    <t xml:space="preserve">Fail Rate = 20%</t>
  </si>
  <si>
    <t xml:space="preserve">5</t>
  </si>
  <si>
    <t xml:space="preserve">Defect Density</t>
  </si>
  <si>
    <t xml:space="preserve">The checkout and payment module has 60,000 LOC and testers found 90 defects. Calculate the Defect Density per KLOC.</t>
  </si>
  <si>
    <t xml:space="preserve">Defects ÷ KLOC, where KLOC = LOC ÷ 1000</t>
  </si>
  <si>
    <t xml:space="preserve">KLOC = 60,000 ÷ 1,000 = 60. Defect Density = 90 ÷ 60 = 1.5</t>
  </si>
  <si>
    <t xml:space="preserve">Defect Density = 1.5 defects/KLOC</t>
  </si>
  <si>
    <t xml:space="preserve">6</t>
  </si>
  <si>
    <t xml:space="preserve">Mean</t>
  </si>
  <si>
    <t xml:space="preserve">Product search API response times over six runs: 120, 140, 180, 130, 160 and 110 ms. Calculate the Mean.</t>
  </si>
  <si>
    <t xml:space="preserve">Sum of Values ÷ Number of Values</t>
  </si>
  <si>
    <t xml:space="preserve">Sum = 840. Mean = 840 ÷ 6 = 140</t>
  </si>
  <si>
    <t xml:space="preserve">Mean = 140 ms</t>
  </si>
  <si>
    <t xml:space="preserve">7</t>
  </si>
  <si>
    <t xml:space="preserve">Median (odd)</t>
  </si>
  <si>
    <t xml:space="preserve">Five page loading times: 4, 2, 7, 5 and 3 seconds. Calculate the Median.</t>
  </si>
  <si>
    <t xml:space="preserve">Sort the values and take the middle one</t>
  </si>
  <si>
    <t xml:space="preserve">Sorted: 2, 3, 4, 5, 7. Middle value = 4</t>
  </si>
  <si>
    <t xml:space="preserve">Median = 4 seconds</t>
  </si>
  <si>
    <t xml:space="preserve">8</t>
  </si>
  <si>
    <t xml:space="preserve">Median (even)</t>
  </si>
  <si>
    <t xml:space="preserve">Six checkout API latencies: 200, 250, 210, 240, 220 and 300 ms. Calculate the Median.</t>
  </si>
  <si>
    <t xml:space="preserve">(Middle Value 1 + Middle Value 2) ÷ 2</t>
  </si>
  <si>
    <t xml:space="preserve">Sorted: 200, 210, 220, 240, 250, 300. Middle values 220 and 240. (220 + 240) ÷ 2 = 230</t>
  </si>
  <si>
    <t xml:space="preserve">Median = 230 ms</t>
  </si>
  <si>
    <t xml:space="preserve">9</t>
  </si>
  <si>
    <t xml:space="preserve">Critical Defect %</t>
  </si>
  <si>
    <t xml:space="preserve">Out of 90 total defects, 9 are Critical. Calculate the Critical Defect Percentage.</t>
  </si>
  <si>
    <t xml:space="preserve">(Critical Defects ÷ Total Defects) × 100</t>
  </si>
  <si>
    <t xml:space="preserve">(9 ÷ 90) × 100 = 10%</t>
  </si>
  <si>
    <t xml:space="preserve">Critical Defect % = 10%</t>
  </si>
  <si>
    <t xml:space="preserve">10</t>
  </si>
  <si>
    <t xml:space="preserve">Combined Metrics</t>
  </si>
  <si>
    <t xml:space="preserve">Total Requirements = 100, Tested = 90, Total Test Cases = 300, Executed = 240, Passed = 192, Failed = 48. Calculate Requirement Coverage, Test Execution %, Pass Rate and Fail Rate.</t>
  </si>
  <si>
    <t xml:space="preserve">Coverage = Tested ÷ Total Req; Execution = Executed ÷ Total TC; Pass = Passed ÷ Executed; Fail = Failed ÷ Executed</t>
  </si>
  <si>
    <t xml:space="preserve">(a) 90 ÷ 100 × 100 = 90%
(b) 240 ÷ 300 × 100 = 80%
(c) 192 ÷ 240 × 100 = 80%
(d) 48 ÷ 240 × 100 = 20%</t>
  </si>
  <si>
    <t xml:space="preserve">Coverage = 90%; Execution = 80%; Pass Rate = 80%; Fail Rate = 20%</t>
  </si>
  <si>
    <t xml:space="preserve">10a</t>
  </si>
  <si>
    <t xml:space="preserve">Requirement Coverage</t>
  </si>
  <si>
    <t xml:space="preserve">10b</t>
  </si>
  <si>
    <t xml:space="preserve">Test Execution</t>
  </si>
  <si>
    <t xml:space="preserve">10c</t>
  </si>
  <si>
    <t xml:space="preserve">10d</t>
  </si>
  <si>
    <t xml:space="preserve">TC ID</t>
  </si>
  <si>
    <t xml:space="preserve">Module</t>
  </si>
  <si>
    <t xml:space="preserve">Test Scenario</t>
  </si>
  <si>
    <t xml:space="preserve">Test Data</t>
  </si>
  <si>
    <t xml:space="preserve">Expected Result</t>
  </si>
  <si>
    <t xml:space="preserve">Status</t>
  </si>
  <si>
    <t xml:space="preserve">TC001</t>
  </si>
  <si>
    <t xml:space="preserve">User Login</t>
  </si>
  <si>
    <t xml:space="preserve">Login with valid registered email and password</t>
  </si>
  <si>
    <t xml:space="preserve">user@flipkart.com / Pass123</t>
  </si>
  <si>
    <t xml:space="preserve">User logs in successfully and dashboard appears</t>
  </si>
  <si>
    <t xml:space="preserve">Pass</t>
  </si>
  <si>
    <t xml:space="preserve">TC002</t>
  </si>
  <si>
    <t xml:space="preserve">Login with invalid email and valid password</t>
  </si>
  <si>
    <t xml:space="preserve">wrong@flipkart.com / Pass123</t>
  </si>
  <si>
    <t xml:space="preserve">Error message 'User not found' is displayed</t>
  </si>
  <si>
    <t xml:space="preserve">TC003</t>
  </si>
  <si>
    <t xml:space="preserve">Login with valid email and incorrect password</t>
  </si>
  <si>
    <t xml:space="preserve">user@flipkart.com / WrongPass</t>
  </si>
  <si>
    <t xml:space="preserve">Error message 'Invalid password' is displayed</t>
  </si>
  <si>
    <t xml:space="preserve">TC004</t>
  </si>
  <si>
    <t xml:space="preserve">Login with blank email and password fields</t>
  </si>
  <si>
    <t xml:space="preserve">Empty / Empty</t>
  </si>
  <si>
    <t xml:space="preserve">Validation error prompts for required fields</t>
  </si>
  <si>
    <t xml:space="preserve">TC005</t>
  </si>
  <si>
    <t xml:space="preserve">Password reset functionality with registered email</t>
  </si>
  <si>
    <t xml:space="preserve">user@flipkart.com</t>
  </si>
  <si>
    <t xml:space="preserve">Password reset link sent to email successfully</t>
  </si>
  <si>
    <t xml:space="preserve">TC006</t>
  </si>
  <si>
    <t xml:space="preserve">Password reset with unregistered email</t>
  </si>
  <si>
    <t xml:space="preserve">unknown@flipkart.com</t>
  </si>
  <si>
    <t xml:space="preserve">Error message 'Email not registered' displayed</t>
  </si>
  <si>
    <t xml:space="preserve">Fail</t>
  </si>
  <si>
    <t xml:space="preserve">TC007</t>
  </si>
  <si>
    <t xml:space="preserve">Session timeout after inactivity</t>
  </si>
  <si>
    <t xml:space="preserve">Idle for 30 mins</t>
  </si>
  <si>
    <t xml:space="preserve">User automatically logged out and redirected to login</t>
  </si>
  <si>
    <t xml:space="preserve">TC008</t>
  </si>
  <si>
    <t xml:space="preserve">Google Social Login integration</t>
  </si>
  <si>
    <t xml:space="preserve">Valid Google Account</t>
  </si>
  <si>
    <t xml:space="preserve">User authenticated and account linked successfully</t>
  </si>
  <si>
    <t xml:space="preserve">TC009</t>
  </si>
  <si>
    <t xml:space="preserve">Product Search</t>
  </si>
  <si>
    <t xml:space="preserve">Search product by valid keyword</t>
  </si>
  <si>
    <t xml:space="preserve">iPhone 15</t>
  </si>
  <si>
    <t xml:space="preserve">Relevant product listing displayed with images and prices</t>
  </si>
  <si>
    <t xml:space="preserve">TC010</t>
  </si>
  <si>
    <t xml:space="preserve">Search product by exact SKU code</t>
  </si>
  <si>
    <t xml:space="preserve">FK-IP15-128</t>
  </si>
  <si>
    <t xml:space="preserve">Direct product details page loaded</t>
  </si>
  <si>
    <t xml:space="preserve">TC011</t>
  </si>
  <si>
    <t xml:space="preserve">Search with non-existent product keyword</t>
  </si>
  <si>
    <t xml:space="preserve">Asdfghjkllp</t>
  </si>
  <si>
    <t xml:space="preserve">No results found message with recommendations displayed</t>
  </si>
  <si>
    <t xml:space="preserve">TC012</t>
  </si>
  <si>
    <t xml:space="preserve">Search using special characters</t>
  </si>
  <si>
    <t xml:space="preserve">@#$%^&amp;*</t>
  </si>
  <si>
    <t xml:space="preserve">Search sanitized and polite error/empty state shown</t>
  </si>
  <si>
    <t xml:space="preserve">TC013</t>
  </si>
  <si>
    <t xml:space="preserve">Filter search results by Brand</t>
  </si>
  <si>
    <t xml:space="preserve">Brand: Apple</t>
  </si>
  <si>
    <t xml:space="preserve">Product list filtered to show only Apple products</t>
  </si>
  <si>
    <t xml:space="preserve">TC014</t>
  </si>
  <si>
    <t xml:space="preserve">Filter search results by Price Range</t>
  </si>
  <si>
    <t xml:space="preserve">Price: $500 - $1000</t>
  </si>
  <si>
    <t xml:space="preserve">Products within price range displayed</t>
  </si>
  <si>
    <t xml:space="preserve">TC015</t>
  </si>
  <si>
    <t xml:space="preserve">Sort search results by Price: Low to High</t>
  </si>
  <si>
    <t xml:space="preserve">Sort: Low to High</t>
  </si>
  <si>
    <t xml:space="preserve">Products sorted correctly in ascending order</t>
  </si>
  <si>
    <t xml:space="preserve">TC016</t>
  </si>
  <si>
    <t xml:space="preserve">Sort search results by Customer Ratings</t>
  </si>
  <si>
    <t xml:space="preserve">Sort: High to Low</t>
  </si>
  <si>
    <t xml:space="preserve">Products sorted by highest rating first</t>
  </si>
  <si>
    <t xml:space="preserve">TC017</t>
  </si>
  <si>
    <t xml:space="preserve">Product Details</t>
  </si>
  <si>
    <t xml:space="preserve">Verify product image gallery zoom</t>
  </si>
  <si>
    <t xml:space="preserve">Click on product image</t>
  </si>
  <si>
    <t xml:space="preserve">High-resolution image zoom modal opens</t>
  </si>
  <si>
    <t xml:space="preserve">TC018</t>
  </si>
  <si>
    <t xml:space="preserve">Check product stock availability message</t>
  </si>
  <si>
    <t xml:space="preserve">Pincode: 560103</t>
  </si>
  <si>
    <t xml:space="preserve">Delivery availability and estimated date displayed</t>
  </si>
  <si>
    <t xml:space="preserve">TC019</t>
  </si>
  <si>
    <t xml:space="preserve">Select specific product variant (Color/Storage)</t>
  </si>
  <si>
    <t xml:space="preserve">Color: Blue, Storage: 256GB</t>
  </si>
  <si>
    <t xml:space="preserve">Variant selected and price updated dynamically</t>
  </si>
  <si>
    <t xml:space="preserve">TC020</t>
  </si>
  <si>
    <t xml:space="preserve">View customer reviews and ratings breakdown</t>
  </si>
  <si>
    <t xml:space="preserve">Scroll to Reviews section</t>
  </si>
  <si>
    <t xml:space="preserve">Rating distribution bars and user comments displayed</t>
  </si>
  <si>
    <t xml:space="preserve">TC021</t>
  </si>
  <si>
    <t xml:space="preserve">Ask a question about product specifications</t>
  </si>
  <si>
    <t xml:space="preserve">Question text input</t>
  </si>
  <si>
    <t xml:space="preserve">Question submitted successfully to Q&amp;A section</t>
  </si>
  <si>
    <t xml:space="preserve">TC022</t>
  </si>
  <si>
    <t xml:space="preserve">Shopping Cart</t>
  </si>
  <si>
    <t xml:space="preserve">Add available product to shopping cart</t>
  </si>
  <si>
    <t xml:space="preserve">Product ID: 101</t>
  </si>
  <si>
    <t xml:space="preserve">Product added to cart with confirmation toast message</t>
  </si>
  <si>
    <t xml:space="preserve">TC023</t>
  </si>
  <si>
    <t xml:space="preserve">Add out of stock product to cart</t>
  </si>
  <si>
    <t xml:space="preserve">Product ID: 102 (OOS)</t>
  </si>
  <si>
    <t xml:space="preserve">'Out of Stock' button shown, cannot add to cart</t>
  </si>
  <si>
    <t xml:space="preserve">TC024</t>
  </si>
  <si>
    <t xml:space="preserve">Update product quantity in cart</t>
  </si>
  <si>
    <t xml:space="preserve">Change qty from 1 to 3</t>
  </si>
  <si>
    <t xml:space="preserve">Cart subtotal and total recalculate correctly</t>
  </si>
  <si>
    <t xml:space="preserve">TC025</t>
  </si>
  <si>
    <t xml:space="preserve">Remove product item from cart</t>
  </si>
  <si>
    <t xml:space="preserve">Click 'Remove' button</t>
  </si>
  <si>
    <t xml:space="preserve">Item removed and cart updated instantly</t>
  </si>
  <si>
    <t xml:space="preserve">TC026</t>
  </si>
  <si>
    <t xml:space="preserve">Move item from cart to wishlist</t>
  </si>
  <si>
    <t xml:space="preserve">Click 'Move to Wishlist'</t>
  </si>
  <si>
    <t xml:space="preserve">Item removed from cart and added to wishlist</t>
  </si>
  <si>
    <t xml:space="preserve">TC027</t>
  </si>
  <si>
    <t xml:space="preserve">Apply valid promotional discount coupon</t>
  </si>
  <si>
    <t xml:space="preserve">Coupon: SAVE10</t>
  </si>
  <si>
    <t xml:space="preserve">10% discount applied to cart subtotal</t>
  </si>
  <si>
    <t xml:space="preserve">TC028</t>
  </si>
  <si>
    <t xml:space="preserve">Apply expired promotional discount coupon</t>
  </si>
  <si>
    <t xml:space="preserve">Coupon: EXPIRED2023</t>
  </si>
  <si>
    <t xml:space="preserve">Error message 'Coupon is expired' displayed</t>
  </si>
  <si>
    <t xml:space="preserve">TC029</t>
  </si>
  <si>
    <t xml:space="preserve">Checkout &amp; Payment</t>
  </si>
  <si>
    <t xml:space="preserve">Proceed to checkout with valid address</t>
  </si>
  <si>
    <t xml:space="preserve">Delivery Address selected</t>
  </si>
  <si>
    <t xml:space="preserve">Checkout page progresses to payment method selection</t>
  </si>
  <si>
    <t xml:space="preserve">TC030</t>
  </si>
  <si>
    <t xml:space="preserve">Add new delivery address with invalid pincode</t>
  </si>
  <si>
    <t xml:space="preserve">Pincode: 000000</t>
  </si>
  <si>
    <t xml:space="preserve">Validation error for invalid postal code</t>
  </si>
  <si>
    <t xml:space="preserve">TC031</t>
  </si>
  <si>
    <t xml:space="preserve">Select Credit/Debit Card payment method</t>
  </si>
  <si>
    <t xml:space="preserve">Visa Card ending 4242</t>
  </si>
  <si>
    <t xml:space="preserve">Card payment gateway loaded securely</t>
  </si>
  <si>
    <t xml:space="preserve">TC032</t>
  </si>
  <si>
    <t xml:space="preserve">Complete payment with valid OTP verification</t>
  </si>
  <si>
    <t xml:space="preserve">OTP: 123456</t>
  </si>
  <si>
    <t xml:space="preserve">Payment successful, order placed confirmation page shown</t>
  </si>
  <si>
    <t xml:space="preserve">TC033</t>
  </si>
  <si>
    <t xml:space="preserve">Payment failure due to incorrect CVV</t>
  </si>
  <si>
    <t xml:space="preserve">CVV: 000</t>
  </si>
  <si>
    <t xml:space="preserve">Error message 'Payment failed, invalid CVV' displayed</t>
  </si>
  <si>
    <t xml:space="preserve">TC034</t>
  </si>
  <si>
    <t xml:space="preserve">Select Cash on Delivery (COD) payment option</t>
  </si>
  <si>
    <t xml:space="preserve">COD selected</t>
  </si>
  <si>
    <t xml:space="preserve">Order placed successfully with COD payment mode</t>
  </si>
  <si>
    <t xml:space="preserve">TC035</t>
  </si>
  <si>
    <t xml:space="preserve">Select UPI payment and check QR code generation</t>
  </si>
  <si>
    <t xml:space="preserve">UPI / Google Pay</t>
  </si>
  <si>
    <t xml:space="preserve">Dynamic QR code generated with timer</t>
  </si>
  <si>
    <t xml:space="preserve">TC036</t>
  </si>
  <si>
    <t xml:space="preserve">Wishlist</t>
  </si>
  <si>
    <t xml:space="preserve">Add product to wishlist from product page</t>
  </si>
  <si>
    <t xml:space="preserve">Click Heart icon</t>
  </si>
  <si>
    <t xml:space="preserve">Product added to wishlist with success indicator</t>
  </si>
  <si>
    <t xml:space="preserve">TC037</t>
  </si>
  <si>
    <t xml:space="preserve">Remove product from wishlist page</t>
  </si>
  <si>
    <t xml:space="preserve">Click Delete on wishlist item</t>
  </si>
  <si>
    <t xml:space="preserve">Product removed from wishlist list</t>
  </si>
  <si>
    <t xml:space="preserve">TC038</t>
  </si>
  <si>
    <t xml:space="preserve">Move item directly from wishlist to cart</t>
  </si>
  <si>
    <t xml:space="preserve">Click 'Move to Cart'</t>
  </si>
  <si>
    <t xml:space="preserve">Item transferred from wishlist to cart</t>
  </si>
  <si>
    <t xml:space="preserve">TC039</t>
  </si>
  <si>
    <t xml:space="preserve">Check wishlist item price drop notification</t>
  </si>
  <si>
    <t xml:space="preserve">Price dropped by $20</t>
  </si>
  <si>
    <t xml:space="preserve">Notification badge displayed on wishlist item</t>
  </si>
  <si>
    <t xml:space="preserve">TC040</t>
  </si>
  <si>
    <t xml:space="preserve">Order Management</t>
  </si>
  <si>
    <t xml:space="preserve">View order history and past purchases</t>
  </si>
  <si>
    <t xml:space="preserve">Navigate to 'My Orders'</t>
  </si>
  <si>
    <t xml:space="preserve">List of all past and active orders displayed</t>
  </si>
  <si>
    <t xml:space="preserve">TC041</t>
  </si>
  <si>
    <t xml:space="preserve">Check detailed order tracking status</t>
  </si>
  <si>
    <t xml:space="preserve">Click on Order #12345</t>
  </si>
  <si>
    <t xml:space="preserve">Timeline showing Packed, Shipped, Out for Delivery shown</t>
  </si>
  <si>
    <t xml:space="preserve">TC042</t>
  </si>
  <si>
    <t xml:space="preserve">Cancel active order before shipment</t>
  </si>
  <si>
    <t xml:space="preserve">Reason: Changed mind</t>
  </si>
  <si>
    <t xml:space="preserve">Order cancelled successfully and refund initiated</t>
  </si>
  <si>
    <t xml:space="preserve">TC043</t>
  </si>
  <si>
    <t xml:space="preserve">Request return for delivered product</t>
  </si>
  <si>
    <t xml:space="preserve">Reason: Defective item</t>
  </si>
  <si>
    <t xml:space="preserve">Return request logged and pickup scheduled</t>
  </si>
  <si>
    <t xml:space="preserve">TC044</t>
  </si>
  <si>
    <t xml:space="preserve">Download invoice PDF for completed order</t>
  </si>
  <si>
    <t xml:space="preserve">Click 'Download Invoice'</t>
  </si>
  <si>
    <t xml:space="preserve">PDF invoice downloaded successfully</t>
  </si>
  <si>
    <t xml:space="preserve">TC045</t>
  </si>
  <si>
    <t xml:space="preserve">Reorder previously purchased items</t>
  </si>
  <si>
    <t xml:space="preserve">Click 'Buy Again'</t>
  </si>
  <si>
    <t xml:space="preserve">All items added to shopping cart instantly</t>
  </si>
  <si>
    <t xml:space="preserve">TC046</t>
  </si>
  <si>
    <t xml:space="preserve">Rate and review delivered product</t>
  </si>
  <si>
    <t xml:space="preserve">Rating: 5 stars, Text review</t>
  </si>
  <si>
    <t xml:space="preserve">Review published successfully on product page</t>
  </si>
  <si>
    <t xml:space="preserve">TC047</t>
  </si>
  <si>
    <t xml:space="preserve">Login with case-insensitive email address</t>
  </si>
  <si>
    <t xml:space="preserve">USER@flipkart.com</t>
  </si>
  <si>
    <t xml:space="preserve">User logged in successfully despite uppercase</t>
  </si>
  <si>
    <t xml:space="preserve">TC048</t>
  </si>
  <si>
    <t xml:space="preserve">Search with auto-suggest dropdown functionality</t>
  </si>
  <si>
    <t xml:space="preserve">Type 'Lap'</t>
  </si>
  <si>
    <t xml:space="preserve">Auto-suggest dropdown displays matching laptops</t>
  </si>
  <si>
    <t xml:space="preserve">TC049</t>
  </si>
  <si>
    <t xml:space="preserve">Check delivery date estimator with valid pincode</t>
  </si>
  <si>
    <t xml:space="preserve">Enter 110001</t>
  </si>
  <si>
    <t xml:space="preserve">Expected delivery date displayed accurately</t>
  </si>
  <si>
    <t xml:space="preserve">TC050</t>
  </si>
  <si>
    <t xml:space="preserve">Verify cart persistence after user logout and login</t>
  </si>
  <si>
    <t xml:space="preserve">Add items, logout, login</t>
  </si>
  <si>
    <t xml:space="preserve">Cart items retained in user session</t>
  </si>
  <si>
    <t xml:space="preserve">TC051</t>
  </si>
  <si>
    <t xml:space="preserve">Apply gift card balance during checkout</t>
  </si>
  <si>
    <t xml:space="preserve">Gift Card Code: GC50</t>
  </si>
  <si>
    <t xml:space="preserve">Gift card amount deducted from total payable</t>
  </si>
  <si>
    <t xml:space="preserve">TC052</t>
  </si>
  <si>
    <t xml:space="preserve">Share wishlist link via social media</t>
  </si>
  <si>
    <t xml:space="preserve">Click 'Share Wishlist'</t>
  </si>
  <si>
    <t xml:space="preserve">Shareable link generated to clipboard</t>
  </si>
  <si>
    <t xml:space="preserve">TC053</t>
  </si>
  <si>
    <t xml:space="preserve">Filter order history by order status (Cancelled)</t>
  </si>
  <si>
    <t xml:space="preserve">Filter: Cancelled</t>
  </si>
  <si>
    <t xml:space="preserve">List displays only cancelled orders</t>
  </si>
  <si>
    <t xml:space="preserve">TC054</t>
  </si>
  <si>
    <t xml:space="preserve">Verify account lockout after 3 consecutive failed logins</t>
  </si>
  <si>
    <t xml:space="preserve">3 wrong passwords</t>
  </si>
  <si>
    <t xml:space="preserve">Account temporarily locked for 15 minutes</t>
  </si>
  <si>
    <t xml:space="preserve">TC055</t>
  </si>
  <si>
    <t xml:space="preserve">Verify pagination in search results</t>
  </si>
  <si>
    <t xml:space="preserve">Page 2 of results</t>
  </si>
  <si>
    <t xml:space="preserve">Products 25-48 displayed correctly</t>
  </si>
  <si>
    <t xml:space="preserve">Metric</t>
  </si>
  <si>
    <t xml:space="preserve">Asks</t>
  </si>
  <si>
    <t xml:space="preserve">How much of the requirements have been tested?</t>
  </si>
  <si>
    <t xml:space="preserve">How many test cases have been executed?</t>
  </si>
  <si>
    <t xml:space="preserve">(Passed Test Cases ÷ Executed Test Cases) × 100</t>
  </si>
  <si>
    <t xml:space="preserve">How many executed test cases passed?</t>
  </si>
  <si>
    <t xml:space="preserve">(Failed Test Cases ÷ Executed Test Cases) × 100</t>
  </si>
  <si>
    <t xml:space="preserve">How many executed test cases failed?</t>
  </si>
  <si>
    <t xml:space="preserve">Number of Defects ÷ KLOC (KLOC = LOC ÷ 1000)</t>
  </si>
  <si>
    <t xml:space="preserve">Defects per 1000 lines of code</t>
  </si>
  <si>
    <t xml:space="preserve">Average response / loading time</t>
  </si>
  <si>
    <t xml:space="preserve">Middle value after sorting</t>
  </si>
  <si>
    <t xml:space="preserve">Middle value of an odd count</t>
  </si>
  <si>
    <t xml:space="preserve">Average of the two middle values</t>
  </si>
  <si>
    <t xml:space="preserve">Share of defects that are critical</t>
  </si>
  <si>
    <t xml:space="preserve">Remember: Coverage uses requirements; Execution uses total test cases; Pass Rate and Fail Rate use executed test cases.</t>
  </si>
  <si>
    <t xml:space="preserve">Defect ID</t>
  </si>
  <si>
    <t xml:space="preserve">Linked TC ID</t>
  </si>
  <si>
    <t xml:space="preserve">Description</t>
  </si>
  <si>
    <t xml:space="preserve">Severity</t>
  </si>
  <si>
    <t xml:space="preserve">Priority</t>
  </si>
  <si>
    <t xml:space="preserve">DEF001</t>
  </si>
  <si>
    <t xml:space="preserve">Password reset does not show proper error for unregistered email</t>
  </si>
  <si>
    <t xml:space="preserve">Critical</t>
  </si>
  <si>
    <t xml:space="preserve">High</t>
  </si>
  <si>
    <t xml:space="preserve">Open</t>
  </si>
  <si>
    <t xml:space="preserve">DEF002</t>
  </si>
  <si>
    <t xml:space="preserve">Product Q&amp;A submission fails silently, question not saved</t>
  </si>
  <si>
    <t xml:space="preserve">DEF003</t>
  </si>
  <si>
    <t xml:space="preserve">Incorrect CVV does not trigger a clear payment failure message</t>
  </si>
  <si>
    <t xml:space="preserve">DEF004</t>
  </si>
  <si>
    <t xml:space="preserve">Price drop notification badge does not appear on wishlist item</t>
  </si>
  <si>
    <t xml:space="preserve">Medium</t>
  </si>
  <si>
    <t xml:space="preserve">DEF005</t>
  </si>
  <si>
    <t xml:space="preserve">-</t>
  </si>
  <si>
    <t xml:space="preserve">Order confirmation email delayed by more than 10 minutes</t>
  </si>
  <si>
    <t xml:space="preserve">In Progress</t>
  </si>
  <si>
    <t xml:space="preserve">DEF006</t>
  </si>
  <si>
    <t xml:space="preserve">Filter combination (Brand + Price) resets sort order unexpectedly</t>
  </si>
  <si>
    <t xml:space="preserve">DEF007</t>
  </si>
  <si>
    <t xml:space="preserve">Cart total not recalculated instantly after coupon removal</t>
  </si>
  <si>
    <t xml:space="preserve">DEF008</t>
  </si>
  <si>
    <t xml:space="preserve">Cancelled order still appears in active orders list briefly</t>
  </si>
  <si>
    <t xml:space="preserve">DEF009</t>
  </si>
  <si>
    <t xml:space="preserve">Account lockout timer resets incorrectly after failed login attempt</t>
  </si>
  <si>
    <t xml:space="preserve">DEF010</t>
  </si>
  <si>
    <t xml:space="preserve">Auto-suggest dropdown shows outdated cached results</t>
  </si>
  <si>
    <t xml:space="preserve">DEF011</t>
  </si>
  <si>
    <t xml:space="preserve">Zoomed product image loads with visible pixelation</t>
  </si>
  <si>
    <t xml:space="preserve">Low</t>
  </si>
  <si>
    <t xml:space="preserve">DEF012</t>
  </si>
  <si>
    <t xml:space="preserve">Quantity stepper allows negative value via keyboard input</t>
  </si>
  <si>
    <t xml:space="preserve">DEF013</t>
  </si>
  <si>
    <t xml:space="preserve">UPI QR code timer does not restart after refresh</t>
  </si>
  <si>
    <t xml:space="preserve">DEF014</t>
  </si>
  <si>
    <t xml:space="preserve">Shared wishlist link opens to a blank page on mobile browser</t>
  </si>
  <si>
    <t xml:space="preserve">DEF015</t>
  </si>
  <si>
    <t xml:space="preserve">Invoice PDF missing GST breakdown for one line item</t>
  </si>
  <si>
    <t xml:space="preserve">DEF016</t>
  </si>
  <si>
    <t xml:space="preserve">Google Social Login prompt appears twice on slow network</t>
  </si>
  <si>
    <t xml:space="preserve">DEF017</t>
  </si>
  <si>
    <t xml:space="preserve">Pagination label shows wrong page count on last page</t>
  </si>
  <si>
    <t xml:space="preserve">DEF018</t>
  </si>
  <si>
    <t xml:space="preserve">Variant price does not update until page scroll</t>
  </si>
  <si>
    <t xml:space="preserve">DEF019</t>
  </si>
  <si>
    <t xml:space="preserve">Minor UI misalignment of remove icon on small screens</t>
  </si>
  <si>
    <t xml:space="preserve">DEF020</t>
  </si>
  <si>
    <t xml:space="preserve">Reorder button label overlaps on narrow tablet view</t>
  </si>
  <si>
    <t xml:space="preserve">Note: this is a representative sample of the 90 logged defects (9 Critical), aligned to the project's Base Data sheet, not an exhaustive list of all 90.</t>
  </si>
  <si>
    <t xml:space="preserve">Requirement ID</t>
  </si>
  <si>
    <t xml:space="preserve">Requirement Description</t>
  </si>
  <si>
    <t xml:space="preserve">Linked Test Case IDs</t>
  </si>
  <si>
    <t xml:space="preserve">Test Status</t>
  </si>
  <si>
    <t xml:space="preserve">REQ001</t>
  </si>
  <si>
    <t xml:space="preserve">User shall be able to log in with valid email and password</t>
  </si>
  <si>
    <t xml:space="preserve">TC001, TC002, TC003, TC047</t>
  </si>
  <si>
    <t xml:space="preserve">Tested</t>
  </si>
  <si>
    <t xml:space="preserve">REQ002</t>
  </si>
  <si>
    <t xml:space="preserve">System shall support password reset via registered email</t>
  </si>
  <si>
    <t xml:space="preserve">TC005, TC006</t>
  </si>
  <si>
    <t xml:space="preserve">REQ003</t>
  </si>
  <si>
    <t xml:space="preserve">System shall lock account after repeated failed logins</t>
  </si>
  <si>
    <t xml:space="preserve">REQ004</t>
  </si>
  <si>
    <t xml:space="preserve">User shall be able to log in via Google Social Login</t>
  </si>
  <si>
    <t xml:space="preserve">REQ005</t>
  </si>
  <si>
    <t xml:space="preserve">User shall be able to search products by keyword</t>
  </si>
  <si>
    <t xml:space="preserve">TC009, TC011, TC012</t>
  </si>
  <si>
    <t xml:space="preserve">REQ006</t>
  </si>
  <si>
    <t xml:space="preserve">User shall be able to filter and sort search results</t>
  </si>
  <si>
    <t xml:space="preserve">TC013, TC014, TC015, TC016</t>
  </si>
  <si>
    <t xml:space="preserve">REQ007</t>
  </si>
  <si>
    <t xml:space="preserve">System shall show auto-suggest results while typing</t>
  </si>
  <si>
    <t xml:space="preserve">REQ008</t>
  </si>
  <si>
    <t xml:space="preserve">System shall paginate search results beyond 24 items</t>
  </si>
  <si>
    <t xml:space="preserve">REQ009</t>
  </si>
  <si>
    <t xml:space="preserve">User shall be able to view product details and images</t>
  </si>
  <si>
    <t xml:space="preserve">TC017, TC019, TC020</t>
  </si>
  <si>
    <t xml:space="preserve">REQ010</t>
  </si>
  <si>
    <t xml:space="preserve">System shall show delivery estimate for entered pincode</t>
  </si>
  <si>
    <t xml:space="preserve">TC018, TC049</t>
  </si>
  <si>
    <t xml:space="preserve">REQ011</t>
  </si>
  <si>
    <t xml:space="preserve">User shall be able to add and remove products from cart</t>
  </si>
  <si>
    <t xml:space="preserve">TC022, TC023, TC025</t>
  </si>
  <si>
    <t xml:space="preserve">REQ012</t>
  </si>
  <si>
    <t xml:space="preserve">System shall recalculate cart total on quantity change</t>
  </si>
  <si>
    <t xml:space="preserve">REQ013</t>
  </si>
  <si>
    <t xml:space="preserve">User shall be able to apply valid discount coupons</t>
  </si>
  <si>
    <t xml:space="preserve">TC027, TC028</t>
  </si>
  <si>
    <t xml:space="preserve">REQ014</t>
  </si>
  <si>
    <t xml:space="preserve">Cart contents shall persist across login sessions</t>
  </si>
  <si>
    <t xml:space="preserve">REQ015</t>
  </si>
  <si>
    <t xml:space="preserve">User shall be able to complete checkout with a valid address</t>
  </si>
  <si>
    <t xml:space="preserve">TC029, TC030</t>
  </si>
  <si>
    <t xml:space="preserve">REQ016</t>
  </si>
  <si>
    <t xml:space="preserve">System shall support Card, UPI, COD and gift card payments</t>
  </si>
  <si>
    <t xml:space="preserve">TC031, TC034, TC035, TC051</t>
  </si>
  <si>
    <t xml:space="preserve">REQ017</t>
  </si>
  <si>
    <t xml:space="preserve">System shall validate OTP and CVV during payment</t>
  </si>
  <si>
    <t xml:space="preserve">TC032, TC033</t>
  </si>
  <si>
    <t xml:space="preserve">REQ018</t>
  </si>
  <si>
    <t xml:space="preserve">User shall be able to add and remove wishlist items</t>
  </si>
  <si>
    <t xml:space="preserve">TC036, TC037, TC038</t>
  </si>
  <si>
    <t xml:space="preserve">REQ019</t>
  </si>
  <si>
    <t xml:space="preserve">System shall notify user of a price drop on wishlist items</t>
  </si>
  <si>
    <t xml:space="preserve">REQ020</t>
  </si>
  <si>
    <t xml:space="preserve">User shall be able to view and track order history</t>
  </si>
  <si>
    <t xml:space="preserve">TC040, TC041, TC053</t>
  </si>
  <si>
    <t xml:space="preserve">REQ021</t>
  </si>
  <si>
    <t xml:space="preserve">User shall be able to cancel, return or reorder items</t>
  </si>
  <si>
    <t xml:space="preserve">TC042, TC043, TC045</t>
  </si>
  <si>
    <t xml:space="preserve">REQ022</t>
  </si>
  <si>
    <t xml:space="preserve">User shall be able to download invoice and submit reviews</t>
  </si>
  <si>
    <t xml:space="preserve">TC044, TC046</t>
  </si>
  <si>
    <t xml:space="preserve">REQ023</t>
  </si>
  <si>
    <t xml:space="preserve">System shall log all defects against severity and status</t>
  </si>
  <si>
    <t xml:space="preserve">Quality Assurance</t>
  </si>
  <si>
    <t xml:space="preserve">Not Tested</t>
  </si>
  <si>
    <t xml:space="preserve">22 of 23 sample requirements are tested; REQ023 (defect logging process) has no test case yet, matching Requirements Tested = 90/100 at project scale (90%).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</si>
</sst>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D9D9D9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4"/>
    <col collapsed="false" customWidth="true" hidden="false" outlineLevel="0" max="3" min="3" style="1" width="52"/>
  </cols>
  <sheetData>
    <row r="1" customFormat="false" ht="15" hidden="false" customHeight="true" outlineLevel="0" collapsed="false">
      <c r="A1" s="2" t="s">
        <v>0</v>
      </c>
      <c r="B1" s="2" t="s">
        <v>1</v>
      </c>
    </row>
    <row r="2" customFormat="false" ht="15" hidden="false" customHeight="true" outlineLevel="0" collapsed="false">
      <c r="A2" s="3" t="s">
        <v>2</v>
      </c>
      <c r="B2" s="3" t="n">
        <v>100</v>
      </c>
    </row>
    <row r="3" customFormat="false" ht="15" hidden="false" customHeight="true" outlineLevel="0" collapsed="false">
      <c r="A3" s="3" t="s">
        <v>3</v>
      </c>
      <c r="B3" s="3" t="n">
        <v>90</v>
      </c>
    </row>
    <row r="4" customFormat="false" ht="15" hidden="false" customHeight="true" outlineLevel="0" collapsed="false">
      <c r="A4" s="3" t="s">
        <v>4</v>
      </c>
      <c r="B4" s="3" t="n">
        <v>300</v>
      </c>
    </row>
    <row r="5" customFormat="false" ht="15" hidden="false" customHeight="true" outlineLevel="0" collapsed="false">
      <c r="A5" s="3" t="s">
        <v>5</v>
      </c>
      <c r="B5" s="3" t="n">
        <v>240</v>
      </c>
    </row>
    <row r="6" customFormat="false" ht="15" hidden="false" customHeight="true" outlineLevel="0" collapsed="false">
      <c r="A6" s="3" t="s">
        <v>6</v>
      </c>
      <c r="B6" s="3" t="n">
        <v>192</v>
      </c>
    </row>
    <row r="7" customFormat="false" ht="15" hidden="false" customHeight="true" outlineLevel="0" collapsed="false">
      <c r="A7" s="3" t="s">
        <v>7</v>
      </c>
      <c r="B7" s="3" t="n">
        <v>48</v>
      </c>
    </row>
    <row r="8" customFormat="false" ht="15" hidden="false" customHeight="true" outlineLevel="0" collapsed="false">
      <c r="A8" s="3" t="s">
        <v>8</v>
      </c>
      <c r="B8" s="3" t="n">
        <f aca="false">B4-B5</f>
        <v>60</v>
      </c>
    </row>
    <row r="9" customFormat="false" ht="15" hidden="false" customHeight="true" outlineLevel="0" collapsed="false">
      <c r="A9" s="3" t="s">
        <v>9</v>
      </c>
      <c r="B9" s="3" t="n">
        <v>60000</v>
      </c>
    </row>
    <row r="10" customFormat="false" ht="15" hidden="false" customHeight="true" outlineLevel="0" collapsed="false">
      <c r="A10" s="3" t="s">
        <v>10</v>
      </c>
      <c r="B10" s="3" t="n">
        <v>90</v>
      </c>
    </row>
    <row r="11" customFormat="false" ht="15" hidden="false" customHeight="true" outlineLevel="0" collapsed="false">
      <c r="A11" s="3" t="s">
        <v>11</v>
      </c>
      <c r="B11" s="3" t="n">
        <v>9</v>
      </c>
    </row>
    <row r="13" customFormat="false" ht="15" hidden="false" customHeight="true" outlineLevel="0" collapsed="false">
      <c r="A13" s="2" t="s">
        <v>12</v>
      </c>
      <c r="B13" s="2" t="s">
        <v>1</v>
      </c>
      <c r="C13" s="2" t="s">
        <v>13</v>
      </c>
    </row>
    <row r="14" customFormat="false" ht="15" hidden="false" customHeight="true" outlineLevel="0" collapsed="false">
      <c r="A14" s="3" t="s">
        <v>14</v>
      </c>
      <c r="B14" s="4" t="n">
        <f aca="false">B3/B2*100</f>
        <v>90</v>
      </c>
      <c r="C14" s="3" t="s">
        <v>15</v>
      </c>
    </row>
    <row r="15" customFormat="false" ht="15" hidden="false" customHeight="true" outlineLevel="0" collapsed="false">
      <c r="A15" s="3" t="s">
        <v>16</v>
      </c>
      <c r="B15" s="4" t="n">
        <f aca="false">B5/B4*100</f>
        <v>80</v>
      </c>
      <c r="C15" s="3" t="s">
        <v>17</v>
      </c>
    </row>
    <row r="16" customFormat="false" ht="15" hidden="false" customHeight="true" outlineLevel="0" collapsed="false">
      <c r="A16" s="3" t="s">
        <v>18</v>
      </c>
      <c r="B16" s="4" t="n">
        <f aca="false">B6/B5*100</f>
        <v>80</v>
      </c>
      <c r="C16" s="3" t="s">
        <v>19</v>
      </c>
    </row>
    <row r="17" customFormat="false" ht="15" hidden="false" customHeight="true" outlineLevel="0" collapsed="false">
      <c r="A17" s="3" t="s">
        <v>20</v>
      </c>
      <c r="B17" s="4" t="n">
        <f aca="false">B7/B5*100</f>
        <v>20</v>
      </c>
      <c r="C17" s="3" t="s">
        <v>21</v>
      </c>
    </row>
    <row r="18" customFormat="false" ht="15" hidden="false" customHeight="true" outlineLevel="0" collapsed="false">
      <c r="A18" s="3" t="s">
        <v>22</v>
      </c>
      <c r="B18" s="4" t="n">
        <f aca="false">B9/1000</f>
        <v>60</v>
      </c>
      <c r="C18" s="3" t="s">
        <v>23</v>
      </c>
    </row>
    <row r="19" customFormat="false" ht="15" hidden="false" customHeight="true" outlineLevel="0" collapsed="false">
      <c r="A19" s="3" t="s">
        <v>24</v>
      </c>
      <c r="B19" s="4" t="n">
        <f aca="false">B10/(B9/1000)</f>
        <v>1.5</v>
      </c>
      <c r="C19" s="3" t="s">
        <v>25</v>
      </c>
    </row>
    <row r="20" customFormat="false" ht="15" hidden="false" customHeight="true" outlineLevel="0" collapsed="false">
      <c r="A20" s="3" t="s">
        <v>26</v>
      </c>
      <c r="B20" s="4" t="n">
        <f aca="false">B11/B10*100</f>
        <v>10</v>
      </c>
      <c r="C20" s="3" t="s">
        <v>27</v>
      </c>
    </row>
    <row r="22" customFormat="false" ht="15" hidden="false" customHeight="true" outlineLevel="0" collapsed="false">
      <c r="A22" s="2" t="s">
        <v>28</v>
      </c>
      <c r="B22" s="2" t="s">
        <v>1</v>
      </c>
    </row>
    <row r="23" customFormat="false" ht="15" hidden="false" customHeight="true" outlineLevel="0" collapsed="false">
      <c r="A23" s="3" t="s">
        <v>29</v>
      </c>
      <c r="B23" s="3" t="n">
        <f aca="false">COUNTA('Test Cases'!A2:A56)</f>
        <v>55</v>
      </c>
    </row>
    <row r="24" customFormat="false" ht="15" hidden="false" customHeight="true" outlineLevel="0" collapsed="false">
      <c r="A24" s="3" t="s">
        <v>30</v>
      </c>
      <c r="B24" s="3" t="n">
        <f aca="false">COUNTIF('Test Cases'!F2:F56,"Pass")</f>
        <v>51</v>
      </c>
    </row>
    <row r="25" customFormat="false" ht="15" hidden="false" customHeight="true" outlineLevel="0" collapsed="false">
      <c r="A25" s="3" t="s">
        <v>31</v>
      </c>
      <c r="B25" s="3" t="n">
        <f aca="false">COUNTIF('Test Cases'!F2:F56,"Fail")</f>
        <v>4</v>
      </c>
    </row>
    <row r="26" customFormat="false" ht="15" hidden="false" customHeight="true" outlineLevel="0" collapsed="false">
      <c r="A26" s="3" t="s">
        <v>32</v>
      </c>
      <c r="B26" s="4" t="n">
        <f aca="false">B24/(B24+B25)*100</f>
        <v>92.7272727272727</v>
      </c>
    </row>
    <row r="27" customFormat="false" ht="15" hidden="false" customHeight="true" outlineLevel="0" collapsed="false">
      <c r="A27" s="3" t="s">
        <v>33</v>
      </c>
      <c r="B27" s="4" t="n">
        <f aca="false">B25/(B24+B25)*100</f>
        <v>7.27272727272727</v>
      </c>
    </row>
    <row r="29" customFormat="false" ht="15" hidden="false" customHeight="true" outlineLevel="0" collapsed="false">
      <c r="A29" s="5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0"/>
    <col collapsed="false" customWidth="true" hidden="false" outlineLevel="0" max="3" min="3" style="1" width="50"/>
    <col collapsed="false" customWidth="true" hidden="false" outlineLevel="0" max="4" min="4" style="1" width="38"/>
    <col collapsed="false" customWidth="true" hidden="false" outlineLevel="0" max="5" min="5" style="1" width="42"/>
    <col collapsed="false" customWidth="true" hidden="false" outlineLevel="0" max="6" min="6" style="1" width="30"/>
    <col collapsed="false" customWidth="true" hidden="false" outlineLevel="0" max="7" min="7" style="1" width="16"/>
  </cols>
  <sheetData>
    <row r="1" customFormat="false" ht="23.25" hidden="false" customHeight="true" outlineLevel="0" collapsed="false">
      <c r="A1" s="2" t="s">
        <v>35</v>
      </c>
      <c r="B1" s="2" t="s">
        <v>36</v>
      </c>
      <c r="C1" s="2" t="s">
        <v>37</v>
      </c>
      <c r="D1" s="2" t="s">
        <v>38</v>
      </c>
      <c r="E1" s="2" t="s">
        <v>39</v>
      </c>
      <c r="F1" s="2" t="s">
        <v>40</v>
      </c>
      <c r="G1" s="2" t="s">
        <v>41</v>
      </c>
    </row>
    <row r="2" customFormat="false" ht="23.25" hidden="false" customHeight="true" outlineLevel="0" collapsed="false">
      <c r="A2" s="3" t="s">
        <v>42</v>
      </c>
      <c r="B2" s="3" t="s">
        <v>43</v>
      </c>
      <c r="C2" s="3" t="s">
        <v>44</v>
      </c>
      <c r="D2" s="3" t="s">
        <v>15</v>
      </c>
      <c r="E2" s="3" t="s">
        <v>45</v>
      </c>
      <c r="F2" s="3" t="s">
        <v>46</v>
      </c>
      <c r="G2" s="4" t="n">
        <f aca="false">90/100*100</f>
        <v>90</v>
      </c>
    </row>
    <row r="3" customFormat="false" ht="23.25" hidden="false" customHeight="true" outlineLevel="0" collapsed="false">
      <c r="A3" s="3" t="s">
        <v>47</v>
      </c>
      <c r="B3" s="3" t="s">
        <v>48</v>
      </c>
      <c r="C3" s="3" t="s">
        <v>49</v>
      </c>
      <c r="D3" s="3" t="s">
        <v>50</v>
      </c>
      <c r="E3" s="3" t="s">
        <v>51</v>
      </c>
      <c r="F3" s="3" t="s">
        <v>52</v>
      </c>
      <c r="G3" s="4" t="n">
        <f aca="false">240/300*100</f>
        <v>80</v>
      </c>
    </row>
    <row r="4" customFormat="false" ht="23.25" hidden="false" customHeight="true" outlineLevel="0" collapsed="false">
      <c r="A4" s="3" t="s">
        <v>53</v>
      </c>
      <c r="B4" s="3" t="s">
        <v>54</v>
      </c>
      <c r="C4" s="3" t="s">
        <v>55</v>
      </c>
      <c r="D4" s="3" t="s">
        <v>19</v>
      </c>
      <c r="E4" s="3" t="s">
        <v>56</v>
      </c>
      <c r="F4" s="3" t="s">
        <v>57</v>
      </c>
      <c r="G4" s="4" t="n">
        <f aca="false">192/240*100</f>
        <v>80</v>
      </c>
    </row>
    <row r="5" customFormat="false" ht="23.25" hidden="false" customHeight="true" outlineLevel="0" collapsed="false">
      <c r="A5" s="3" t="s">
        <v>58</v>
      </c>
      <c r="B5" s="3" t="s">
        <v>59</v>
      </c>
      <c r="C5" s="3" t="s">
        <v>60</v>
      </c>
      <c r="D5" s="3" t="s">
        <v>21</v>
      </c>
      <c r="E5" s="3" t="s">
        <v>61</v>
      </c>
      <c r="F5" s="3" t="s">
        <v>62</v>
      </c>
      <c r="G5" s="4" t="n">
        <f aca="false">48/240*100</f>
        <v>20</v>
      </c>
    </row>
    <row r="6" customFormat="false" ht="34.5" hidden="false" customHeight="true" outlineLevel="0" collapsed="false">
      <c r="A6" s="3" t="s">
        <v>63</v>
      </c>
      <c r="B6" s="3" t="s">
        <v>64</v>
      </c>
      <c r="C6" s="3" t="s">
        <v>65</v>
      </c>
      <c r="D6" s="3" t="s">
        <v>66</v>
      </c>
      <c r="E6" s="3" t="s">
        <v>67</v>
      </c>
      <c r="F6" s="3" t="s">
        <v>68</v>
      </c>
      <c r="G6" s="4" t="n">
        <f aca="false">90/(60000/1000)</f>
        <v>1.5</v>
      </c>
    </row>
    <row r="7" customFormat="false" ht="23.25" hidden="false" customHeight="true" outlineLevel="0" collapsed="false">
      <c r="A7" s="3" t="s">
        <v>69</v>
      </c>
      <c r="B7" s="3" t="s">
        <v>70</v>
      </c>
      <c r="C7" s="3" t="s">
        <v>71</v>
      </c>
      <c r="D7" s="3" t="s">
        <v>72</v>
      </c>
      <c r="E7" s="3" t="s">
        <v>73</v>
      </c>
      <c r="F7" s="3" t="s">
        <v>74</v>
      </c>
      <c r="G7" s="4" t="n">
        <f aca="false">AVERAGE(120,140,180,130,160,110)</f>
        <v>140</v>
      </c>
    </row>
    <row r="8" customFormat="false" ht="23.25" hidden="false" customHeight="true" outlineLevel="0" collapsed="false">
      <c r="A8" s="3" t="s">
        <v>75</v>
      </c>
      <c r="B8" s="3" t="s">
        <v>76</v>
      </c>
      <c r="C8" s="3" t="s">
        <v>77</v>
      </c>
      <c r="D8" s="3" t="s">
        <v>78</v>
      </c>
      <c r="E8" s="3" t="s">
        <v>79</v>
      </c>
      <c r="F8" s="3" t="s">
        <v>80</v>
      </c>
      <c r="G8" s="4" t="n">
        <f aca="false">MEDIAN(4,2,7,5,3)</f>
        <v>4</v>
      </c>
    </row>
    <row r="9" customFormat="false" ht="23.25" hidden="false" customHeight="true" outlineLevel="0" collapsed="false">
      <c r="A9" s="3" t="s">
        <v>81</v>
      </c>
      <c r="B9" s="3" t="s">
        <v>82</v>
      </c>
      <c r="C9" s="3" t="s">
        <v>83</v>
      </c>
      <c r="D9" s="3" t="s">
        <v>84</v>
      </c>
      <c r="E9" s="3" t="s">
        <v>85</v>
      </c>
      <c r="F9" s="3" t="s">
        <v>86</v>
      </c>
      <c r="G9" s="4" t="n">
        <f aca="false">MEDIAN(200,250,210,240,220,300)</f>
        <v>230</v>
      </c>
    </row>
    <row r="10" customFormat="false" ht="23.25" hidden="false" customHeight="true" outlineLevel="0" collapsed="false">
      <c r="A10" s="3" t="s">
        <v>87</v>
      </c>
      <c r="B10" s="3" t="s">
        <v>88</v>
      </c>
      <c r="C10" s="3" t="s">
        <v>89</v>
      </c>
      <c r="D10" s="3" t="s">
        <v>90</v>
      </c>
      <c r="E10" s="3" t="s">
        <v>91</v>
      </c>
      <c r="F10" s="3" t="s">
        <v>92</v>
      </c>
      <c r="G10" s="4" t="n">
        <f aca="false">9/90*100</f>
        <v>10</v>
      </c>
    </row>
    <row r="11" customFormat="false" ht="45.75" hidden="false" customHeight="true" outlineLevel="0" collapsed="false">
      <c r="A11" s="3" t="s">
        <v>93</v>
      </c>
      <c r="B11" s="3" t="s">
        <v>94</v>
      </c>
      <c r="C11" s="3" t="s">
        <v>95</v>
      </c>
      <c r="D11" s="3" t="s">
        <v>96</v>
      </c>
      <c r="E11" s="3" t="s">
        <v>97</v>
      </c>
      <c r="F11" s="3" t="s">
        <v>98</v>
      </c>
      <c r="G11" s="6"/>
    </row>
    <row r="12" customFormat="false" ht="15" hidden="false" customHeight="true" outlineLevel="0" collapsed="false">
      <c r="A12" s="3" t="s">
        <v>99</v>
      </c>
      <c r="B12" s="3" t="s">
        <v>100</v>
      </c>
      <c r="C12" s="3"/>
      <c r="D12" s="3"/>
      <c r="E12" s="3"/>
      <c r="F12" s="3"/>
      <c r="G12" s="4" t="n">
        <f aca="false">90/100*100</f>
        <v>90</v>
      </c>
    </row>
    <row r="13" customFormat="false" ht="15" hidden="false" customHeight="true" outlineLevel="0" collapsed="false">
      <c r="A13" s="3" t="s">
        <v>101</v>
      </c>
      <c r="B13" s="3" t="s">
        <v>102</v>
      </c>
      <c r="C13" s="3"/>
      <c r="D13" s="3"/>
      <c r="E13" s="3"/>
      <c r="F13" s="3"/>
      <c r="G13" s="4" t="n">
        <f aca="false">240/300*100</f>
        <v>80</v>
      </c>
    </row>
    <row r="14" customFormat="false" ht="15" hidden="false" customHeight="true" outlineLevel="0" collapsed="false">
      <c r="A14" s="3" t="s">
        <v>103</v>
      </c>
      <c r="B14" s="3" t="s">
        <v>54</v>
      </c>
      <c r="C14" s="3"/>
      <c r="D14" s="3"/>
      <c r="E14" s="3"/>
      <c r="F14" s="3"/>
      <c r="G14" s="4" t="n">
        <f aca="false">192/240*100</f>
        <v>80</v>
      </c>
    </row>
    <row r="15" customFormat="false" ht="15" hidden="false" customHeight="true" outlineLevel="0" collapsed="false">
      <c r="A15" s="3" t="s">
        <v>104</v>
      </c>
      <c r="B15" s="3" t="s">
        <v>59</v>
      </c>
      <c r="C15" s="3"/>
      <c r="D15" s="3"/>
      <c r="E15" s="3"/>
      <c r="F15" s="3"/>
      <c r="G15" s="4" t="n">
        <f aca="false">48/240*100</f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20"/>
    <col collapsed="false" customWidth="true" hidden="false" outlineLevel="0" max="3" min="3" style="1" width="48"/>
    <col collapsed="false" customWidth="true" hidden="false" outlineLevel="0" max="4" min="4" style="1" width="32"/>
    <col collapsed="false" customWidth="true" hidden="false" outlineLevel="0" max="5" min="5" style="1" width="52"/>
    <col collapsed="false" customWidth="true" hidden="false" outlineLevel="0" max="6" min="6" style="1" width="10"/>
  </cols>
  <sheetData>
    <row r="1" customFormat="false" ht="15" hidden="false" customHeight="true" outlineLevel="0" collapsed="false">
      <c r="A1" s="2" t="s">
        <v>105</v>
      </c>
      <c r="B1" s="2" t="s">
        <v>106</v>
      </c>
      <c r="C1" s="2" t="s">
        <v>107</v>
      </c>
      <c r="D1" s="2" t="s">
        <v>108</v>
      </c>
      <c r="E1" s="2" t="s">
        <v>109</v>
      </c>
      <c r="F1" s="2" t="s">
        <v>110</v>
      </c>
    </row>
    <row r="2" customFormat="false" ht="15" hidden="false" customHeight="true" outlineLevel="0" collapsed="false">
      <c r="A2" s="3" t="s">
        <v>111</v>
      </c>
      <c r="B2" s="3" t="s">
        <v>112</v>
      </c>
      <c r="C2" s="3" t="s">
        <v>113</v>
      </c>
      <c r="D2" s="3" t="s">
        <v>114</v>
      </c>
      <c r="E2" s="3" t="s">
        <v>115</v>
      </c>
      <c r="F2" s="3" t="s">
        <v>116</v>
      </c>
    </row>
    <row r="3" customFormat="false" ht="15" hidden="false" customHeight="true" outlineLevel="0" collapsed="false">
      <c r="A3" s="3" t="s">
        <v>117</v>
      </c>
      <c r="B3" s="3" t="s">
        <v>112</v>
      </c>
      <c r="C3" s="3" t="s">
        <v>118</v>
      </c>
      <c r="D3" s="3" t="s">
        <v>119</v>
      </c>
      <c r="E3" s="3" t="s">
        <v>120</v>
      </c>
      <c r="F3" s="3" t="s">
        <v>116</v>
      </c>
    </row>
    <row r="4" customFormat="false" ht="15" hidden="false" customHeight="true" outlineLevel="0" collapsed="false">
      <c r="A4" s="3" t="s">
        <v>121</v>
      </c>
      <c r="B4" s="3" t="s">
        <v>112</v>
      </c>
      <c r="C4" s="3" t="s">
        <v>122</v>
      </c>
      <c r="D4" s="3" t="s">
        <v>123</v>
      </c>
      <c r="E4" s="3" t="s">
        <v>124</v>
      </c>
      <c r="F4" s="3" t="s">
        <v>116</v>
      </c>
    </row>
    <row r="5" customFormat="false" ht="15" hidden="false" customHeight="true" outlineLevel="0" collapsed="false">
      <c r="A5" s="3" t="s">
        <v>125</v>
      </c>
      <c r="B5" s="3" t="s">
        <v>112</v>
      </c>
      <c r="C5" s="3" t="s">
        <v>126</v>
      </c>
      <c r="D5" s="3" t="s">
        <v>127</v>
      </c>
      <c r="E5" s="3" t="s">
        <v>128</v>
      </c>
      <c r="F5" s="3" t="s">
        <v>116</v>
      </c>
    </row>
    <row r="6" customFormat="false" ht="15" hidden="false" customHeight="true" outlineLevel="0" collapsed="false">
      <c r="A6" s="3" t="s">
        <v>129</v>
      </c>
      <c r="B6" s="3" t="s">
        <v>112</v>
      </c>
      <c r="C6" s="3" t="s">
        <v>130</v>
      </c>
      <c r="D6" s="3" t="s">
        <v>131</v>
      </c>
      <c r="E6" s="3" t="s">
        <v>132</v>
      </c>
      <c r="F6" s="3" t="s">
        <v>116</v>
      </c>
    </row>
    <row r="7" customFormat="false" ht="15" hidden="false" customHeight="true" outlineLevel="0" collapsed="false">
      <c r="A7" s="3" t="s">
        <v>133</v>
      </c>
      <c r="B7" s="3" t="s">
        <v>112</v>
      </c>
      <c r="C7" s="3" t="s">
        <v>134</v>
      </c>
      <c r="D7" s="3" t="s">
        <v>135</v>
      </c>
      <c r="E7" s="3" t="s">
        <v>136</v>
      </c>
      <c r="F7" s="3" t="s">
        <v>137</v>
      </c>
    </row>
    <row r="8" customFormat="false" ht="15" hidden="false" customHeight="true" outlineLevel="0" collapsed="false">
      <c r="A8" s="3" t="s">
        <v>138</v>
      </c>
      <c r="B8" s="3" t="s">
        <v>112</v>
      </c>
      <c r="C8" s="3" t="s">
        <v>139</v>
      </c>
      <c r="D8" s="3" t="s">
        <v>140</v>
      </c>
      <c r="E8" s="3" t="s">
        <v>141</v>
      </c>
      <c r="F8" s="3" t="s">
        <v>116</v>
      </c>
    </row>
    <row r="9" customFormat="false" ht="15" hidden="false" customHeight="true" outlineLevel="0" collapsed="false">
      <c r="A9" s="3" t="s">
        <v>142</v>
      </c>
      <c r="B9" s="3" t="s">
        <v>112</v>
      </c>
      <c r="C9" s="3" t="s">
        <v>143</v>
      </c>
      <c r="D9" s="3" t="s">
        <v>144</v>
      </c>
      <c r="E9" s="3" t="s">
        <v>145</v>
      </c>
      <c r="F9" s="3" t="s">
        <v>116</v>
      </c>
    </row>
    <row r="10" customFormat="false" ht="15" hidden="false" customHeight="true" outlineLevel="0" collapsed="false">
      <c r="A10" s="3" t="s">
        <v>146</v>
      </c>
      <c r="B10" s="3" t="s">
        <v>147</v>
      </c>
      <c r="C10" s="3" t="s">
        <v>148</v>
      </c>
      <c r="D10" s="3" t="s">
        <v>149</v>
      </c>
      <c r="E10" s="3" t="s">
        <v>150</v>
      </c>
      <c r="F10" s="3" t="s">
        <v>116</v>
      </c>
    </row>
    <row r="11" customFormat="false" ht="15" hidden="false" customHeight="true" outlineLevel="0" collapsed="false">
      <c r="A11" s="3" t="s">
        <v>151</v>
      </c>
      <c r="B11" s="3" t="s">
        <v>147</v>
      </c>
      <c r="C11" s="3" t="s">
        <v>152</v>
      </c>
      <c r="D11" s="3" t="s">
        <v>153</v>
      </c>
      <c r="E11" s="3" t="s">
        <v>154</v>
      </c>
      <c r="F11" s="3" t="s">
        <v>116</v>
      </c>
    </row>
    <row r="12" customFormat="false" ht="15" hidden="false" customHeight="true" outlineLevel="0" collapsed="false">
      <c r="A12" s="3" t="s">
        <v>155</v>
      </c>
      <c r="B12" s="3" t="s">
        <v>147</v>
      </c>
      <c r="C12" s="3" t="s">
        <v>156</v>
      </c>
      <c r="D12" s="3" t="s">
        <v>157</v>
      </c>
      <c r="E12" s="3" t="s">
        <v>158</v>
      </c>
      <c r="F12" s="3" t="s">
        <v>116</v>
      </c>
    </row>
    <row r="13" customFormat="false" ht="15" hidden="false" customHeight="true" outlineLevel="0" collapsed="false">
      <c r="A13" s="3" t="s">
        <v>159</v>
      </c>
      <c r="B13" s="3" t="s">
        <v>147</v>
      </c>
      <c r="C13" s="3" t="s">
        <v>160</v>
      </c>
      <c r="D13" s="3" t="s">
        <v>161</v>
      </c>
      <c r="E13" s="3" t="s">
        <v>162</v>
      </c>
      <c r="F13" s="3" t="s">
        <v>116</v>
      </c>
    </row>
    <row r="14" customFormat="false" ht="15" hidden="false" customHeight="true" outlineLevel="0" collapsed="false">
      <c r="A14" s="3" t="s">
        <v>163</v>
      </c>
      <c r="B14" s="3" t="s">
        <v>147</v>
      </c>
      <c r="C14" s="3" t="s">
        <v>164</v>
      </c>
      <c r="D14" s="3" t="s">
        <v>165</v>
      </c>
      <c r="E14" s="3" t="s">
        <v>166</v>
      </c>
      <c r="F14" s="3" t="s">
        <v>116</v>
      </c>
    </row>
    <row r="15" customFormat="false" ht="15" hidden="false" customHeight="true" outlineLevel="0" collapsed="false">
      <c r="A15" s="3" t="s">
        <v>167</v>
      </c>
      <c r="B15" s="3" t="s">
        <v>147</v>
      </c>
      <c r="C15" s="3" t="s">
        <v>168</v>
      </c>
      <c r="D15" s="3" t="s">
        <v>169</v>
      </c>
      <c r="E15" s="3" t="s">
        <v>170</v>
      </c>
      <c r="F15" s="3" t="s">
        <v>116</v>
      </c>
    </row>
    <row r="16" customFormat="false" ht="15" hidden="false" customHeight="true" outlineLevel="0" collapsed="false">
      <c r="A16" s="3" t="s">
        <v>171</v>
      </c>
      <c r="B16" s="3" t="s">
        <v>147</v>
      </c>
      <c r="C16" s="3" t="s">
        <v>172</v>
      </c>
      <c r="D16" s="3" t="s">
        <v>173</v>
      </c>
      <c r="E16" s="3" t="s">
        <v>174</v>
      </c>
      <c r="F16" s="3" t="s">
        <v>116</v>
      </c>
    </row>
    <row r="17" customFormat="false" ht="15" hidden="false" customHeight="true" outlineLevel="0" collapsed="false">
      <c r="A17" s="3" t="s">
        <v>175</v>
      </c>
      <c r="B17" s="3" t="s">
        <v>147</v>
      </c>
      <c r="C17" s="3" t="s">
        <v>176</v>
      </c>
      <c r="D17" s="3" t="s">
        <v>177</v>
      </c>
      <c r="E17" s="3" t="s">
        <v>178</v>
      </c>
      <c r="F17" s="3" t="s">
        <v>116</v>
      </c>
    </row>
    <row r="18" customFormat="false" ht="15" hidden="false" customHeight="true" outlineLevel="0" collapsed="false">
      <c r="A18" s="3" t="s">
        <v>179</v>
      </c>
      <c r="B18" s="3" t="s">
        <v>180</v>
      </c>
      <c r="C18" s="3" t="s">
        <v>181</v>
      </c>
      <c r="D18" s="3" t="s">
        <v>182</v>
      </c>
      <c r="E18" s="3" t="s">
        <v>183</v>
      </c>
      <c r="F18" s="3" t="s">
        <v>116</v>
      </c>
    </row>
    <row r="19" customFormat="false" ht="15" hidden="false" customHeight="true" outlineLevel="0" collapsed="false">
      <c r="A19" s="3" t="s">
        <v>184</v>
      </c>
      <c r="B19" s="3" t="s">
        <v>180</v>
      </c>
      <c r="C19" s="3" t="s">
        <v>185</v>
      </c>
      <c r="D19" s="3" t="s">
        <v>186</v>
      </c>
      <c r="E19" s="3" t="s">
        <v>187</v>
      </c>
      <c r="F19" s="3" t="s">
        <v>116</v>
      </c>
    </row>
    <row r="20" customFormat="false" ht="15" hidden="false" customHeight="true" outlineLevel="0" collapsed="false">
      <c r="A20" s="3" t="s">
        <v>188</v>
      </c>
      <c r="B20" s="3" t="s">
        <v>180</v>
      </c>
      <c r="C20" s="3" t="s">
        <v>189</v>
      </c>
      <c r="D20" s="3" t="s">
        <v>190</v>
      </c>
      <c r="E20" s="3" t="s">
        <v>191</v>
      </c>
      <c r="F20" s="3" t="s">
        <v>116</v>
      </c>
    </row>
    <row r="21" customFormat="false" ht="15" hidden="false" customHeight="true" outlineLevel="0" collapsed="false">
      <c r="A21" s="3" t="s">
        <v>192</v>
      </c>
      <c r="B21" s="3" t="s">
        <v>180</v>
      </c>
      <c r="C21" s="3" t="s">
        <v>193</v>
      </c>
      <c r="D21" s="3" t="s">
        <v>194</v>
      </c>
      <c r="E21" s="3" t="s">
        <v>195</v>
      </c>
      <c r="F21" s="3" t="s">
        <v>116</v>
      </c>
    </row>
    <row r="22" customFormat="false" ht="15" hidden="false" customHeight="true" outlineLevel="0" collapsed="false">
      <c r="A22" s="3" t="s">
        <v>196</v>
      </c>
      <c r="B22" s="3" t="s">
        <v>180</v>
      </c>
      <c r="C22" s="3" t="s">
        <v>197</v>
      </c>
      <c r="D22" s="3" t="s">
        <v>198</v>
      </c>
      <c r="E22" s="3" t="s">
        <v>199</v>
      </c>
      <c r="F22" s="3" t="s">
        <v>137</v>
      </c>
    </row>
    <row r="23" customFormat="false" ht="15" hidden="false" customHeight="true" outlineLevel="0" collapsed="false">
      <c r="A23" s="3" t="s">
        <v>200</v>
      </c>
      <c r="B23" s="3" t="s">
        <v>201</v>
      </c>
      <c r="C23" s="3" t="s">
        <v>202</v>
      </c>
      <c r="D23" s="3" t="s">
        <v>203</v>
      </c>
      <c r="E23" s="3" t="s">
        <v>204</v>
      </c>
      <c r="F23" s="3" t="s">
        <v>116</v>
      </c>
    </row>
    <row r="24" customFormat="false" ht="15" hidden="false" customHeight="true" outlineLevel="0" collapsed="false">
      <c r="A24" s="3" t="s">
        <v>205</v>
      </c>
      <c r="B24" s="3" t="s">
        <v>201</v>
      </c>
      <c r="C24" s="3" t="s">
        <v>206</v>
      </c>
      <c r="D24" s="3" t="s">
        <v>207</v>
      </c>
      <c r="E24" s="3" t="s">
        <v>208</v>
      </c>
      <c r="F24" s="3" t="s">
        <v>116</v>
      </c>
    </row>
    <row r="25" customFormat="false" ht="15" hidden="false" customHeight="true" outlineLevel="0" collapsed="false">
      <c r="A25" s="3" t="s">
        <v>209</v>
      </c>
      <c r="B25" s="3" t="s">
        <v>201</v>
      </c>
      <c r="C25" s="3" t="s">
        <v>210</v>
      </c>
      <c r="D25" s="3" t="s">
        <v>211</v>
      </c>
      <c r="E25" s="3" t="s">
        <v>212</v>
      </c>
      <c r="F25" s="3" t="s">
        <v>116</v>
      </c>
    </row>
    <row r="26" customFormat="false" ht="15" hidden="false" customHeight="true" outlineLevel="0" collapsed="false">
      <c r="A26" s="3" t="s">
        <v>213</v>
      </c>
      <c r="B26" s="3" t="s">
        <v>201</v>
      </c>
      <c r="C26" s="3" t="s">
        <v>214</v>
      </c>
      <c r="D26" s="3" t="s">
        <v>215</v>
      </c>
      <c r="E26" s="3" t="s">
        <v>216</v>
      </c>
      <c r="F26" s="3" t="s">
        <v>116</v>
      </c>
    </row>
    <row r="27" customFormat="false" ht="15" hidden="false" customHeight="true" outlineLevel="0" collapsed="false">
      <c r="A27" s="3" t="s">
        <v>217</v>
      </c>
      <c r="B27" s="3" t="s">
        <v>201</v>
      </c>
      <c r="C27" s="3" t="s">
        <v>218</v>
      </c>
      <c r="D27" s="3" t="s">
        <v>219</v>
      </c>
      <c r="E27" s="3" t="s">
        <v>220</v>
      </c>
      <c r="F27" s="3" t="s">
        <v>116</v>
      </c>
    </row>
    <row r="28" customFormat="false" ht="15" hidden="false" customHeight="true" outlineLevel="0" collapsed="false">
      <c r="A28" s="3" t="s">
        <v>221</v>
      </c>
      <c r="B28" s="3" t="s">
        <v>201</v>
      </c>
      <c r="C28" s="3" t="s">
        <v>222</v>
      </c>
      <c r="D28" s="3" t="s">
        <v>223</v>
      </c>
      <c r="E28" s="3" t="s">
        <v>224</v>
      </c>
      <c r="F28" s="3" t="s">
        <v>116</v>
      </c>
    </row>
    <row r="29" customFormat="false" ht="15" hidden="false" customHeight="true" outlineLevel="0" collapsed="false">
      <c r="A29" s="3" t="s">
        <v>225</v>
      </c>
      <c r="B29" s="3" t="s">
        <v>201</v>
      </c>
      <c r="C29" s="3" t="s">
        <v>226</v>
      </c>
      <c r="D29" s="3" t="s">
        <v>227</v>
      </c>
      <c r="E29" s="3" t="s">
        <v>228</v>
      </c>
      <c r="F29" s="3" t="s">
        <v>116</v>
      </c>
    </row>
    <row r="30" customFormat="false" ht="15" hidden="false" customHeight="true" outlineLevel="0" collapsed="false">
      <c r="A30" s="3" t="s">
        <v>229</v>
      </c>
      <c r="B30" s="3" t="s">
        <v>230</v>
      </c>
      <c r="C30" s="3" t="s">
        <v>231</v>
      </c>
      <c r="D30" s="3" t="s">
        <v>232</v>
      </c>
      <c r="E30" s="3" t="s">
        <v>233</v>
      </c>
      <c r="F30" s="3" t="s">
        <v>116</v>
      </c>
    </row>
    <row r="31" customFormat="false" ht="15" hidden="false" customHeight="true" outlineLevel="0" collapsed="false">
      <c r="A31" s="3" t="s">
        <v>234</v>
      </c>
      <c r="B31" s="3" t="s">
        <v>230</v>
      </c>
      <c r="C31" s="3" t="s">
        <v>235</v>
      </c>
      <c r="D31" s="3" t="s">
        <v>236</v>
      </c>
      <c r="E31" s="3" t="s">
        <v>237</v>
      </c>
      <c r="F31" s="3" t="s">
        <v>116</v>
      </c>
    </row>
    <row r="32" customFormat="false" ht="15" hidden="false" customHeight="true" outlineLevel="0" collapsed="false">
      <c r="A32" s="3" t="s">
        <v>238</v>
      </c>
      <c r="B32" s="3" t="s">
        <v>230</v>
      </c>
      <c r="C32" s="3" t="s">
        <v>239</v>
      </c>
      <c r="D32" s="3" t="s">
        <v>240</v>
      </c>
      <c r="E32" s="3" t="s">
        <v>241</v>
      </c>
      <c r="F32" s="3" t="s">
        <v>116</v>
      </c>
    </row>
    <row r="33" customFormat="false" ht="15" hidden="false" customHeight="true" outlineLevel="0" collapsed="false">
      <c r="A33" s="3" t="s">
        <v>242</v>
      </c>
      <c r="B33" s="3" t="s">
        <v>230</v>
      </c>
      <c r="C33" s="3" t="s">
        <v>243</v>
      </c>
      <c r="D33" s="3" t="s">
        <v>244</v>
      </c>
      <c r="E33" s="3" t="s">
        <v>245</v>
      </c>
      <c r="F33" s="3" t="s">
        <v>116</v>
      </c>
    </row>
    <row r="34" customFormat="false" ht="15" hidden="false" customHeight="true" outlineLevel="0" collapsed="false">
      <c r="A34" s="3" t="s">
        <v>246</v>
      </c>
      <c r="B34" s="3" t="s">
        <v>230</v>
      </c>
      <c r="C34" s="3" t="s">
        <v>247</v>
      </c>
      <c r="D34" s="3" t="s">
        <v>248</v>
      </c>
      <c r="E34" s="3" t="s">
        <v>249</v>
      </c>
      <c r="F34" s="3" t="s">
        <v>137</v>
      </c>
    </row>
    <row r="35" customFormat="false" ht="15" hidden="false" customHeight="true" outlineLevel="0" collapsed="false">
      <c r="A35" s="3" t="s">
        <v>250</v>
      </c>
      <c r="B35" s="3" t="s">
        <v>230</v>
      </c>
      <c r="C35" s="3" t="s">
        <v>251</v>
      </c>
      <c r="D35" s="3" t="s">
        <v>252</v>
      </c>
      <c r="E35" s="3" t="s">
        <v>253</v>
      </c>
      <c r="F35" s="3" t="s">
        <v>116</v>
      </c>
    </row>
    <row r="36" customFormat="false" ht="15" hidden="false" customHeight="true" outlineLevel="0" collapsed="false">
      <c r="A36" s="3" t="s">
        <v>254</v>
      </c>
      <c r="B36" s="3" t="s">
        <v>230</v>
      </c>
      <c r="C36" s="3" t="s">
        <v>255</v>
      </c>
      <c r="D36" s="3" t="s">
        <v>256</v>
      </c>
      <c r="E36" s="3" t="s">
        <v>257</v>
      </c>
      <c r="F36" s="3" t="s">
        <v>116</v>
      </c>
    </row>
    <row r="37" customFormat="false" ht="15" hidden="false" customHeight="true" outlineLevel="0" collapsed="false">
      <c r="A37" s="3" t="s">
        <v>258</v>
      </c>
      <c r="B37" s="3" t="s">
        <v>259</v>
      </c>
      <c r="C37" s="3" t="s">
        <v>260</v>
      </c>
      <c r="D37" s="3" t="s">
        <v>261</v>
      </c>
      <c r="E37" s="3" t="s">
        <v>262</v>
      </c>
      <c r="F37" s="3" t="s">
        <v>116</v>
      </c>
    </row>
    <row r="38" customFormat="false" ht="15" hidden="false" customHeight="true" outlineLevel="0" collapsed="false">
      <c r="A38" s="3" t="s">
        <v>263</v>
      </c>
      <c r="B38" s="3" t="s">
        <v>259</v>
      </c>
      <c r="C38" s="3" t="s">
        <v>264</v>
      </c>
      <c r="D38" s="3" t="s">
        <v>265</v>
      </c>
      <c r="E38" s="3" t="s">
        <v>266</v>
      </c>
      <c r="F38" s="3" t="s">
        <v>116</v>
      </c>
    </row>
    <row r="39" customFormat="false" ht="15" hidden="false" customHeight="true" outlineLevel="0" collapsed="false">
      <c r="A39" s="3" t="s">
        <v>267</v>
      </c>
      <c r="B39" s="3" t="s">
        <v>259</v>
      </c>
      <c r="C39" s="3" t="s">
        <v>268</v>
      </c>
      <c r="D39" s="3" t="s">
        <v>269</v>
      </c>
      <c r="E39" s="3" t="s">
        <v>270</v>
      </c>
      <c r="F39" s="3" t="s">
        <v>116</v>
      </c>
    </row>
    <row r="40" customFormat="false" ht="15" hidden="false" customHeight="true" outlineLevel="0" collapsed="false">
      <c r="A40" s="3" t="s">
        <v>271</v>
      </c>
      <c r="B40" s="3" t="s">
        <v>259</v>
      </c>
      <c r="C40" s="3" t="s">
        <v>272</v>
      </c>
      <c r="D40" s="3" t="s">
        <v>273</v>
      </c>
      <c r="E40" s="3" t="s">
        <v>274</v>
      </c>
      <c r="F40" s="3" t="s">
        <v>137</v>
      </c>
    </row>
    <row r="41" customFormat="false" ht="15" hidden="false" customHeight="true" outlineLevel="0" collapsed="false">
      <c r="A41" s="3" t="s">
        <v>275</v>
      </c>
      <c r="B41" s="3" t="s">
        <v>276</v>
      </c>
      <c r="C41" s="3" t="s">
        <v>277</v>
      </c>
      <c r="D41" s="3" t="s">
        <v>278</v>
      </c>
      <c r="E41" s="3" t="s">
        <v>279</v>
      </c>
      <c r="F41" s="3" t="s">
        <v>116</v>
      </c>
    </row>
    <row r="42" customFormat="false" ht="15" hidden="false" customHeight="true" outlineLevel="0" collapsed="false">
      <c r="A42" s="3" t="s">
        <v>280</v>
      </c>
      <c r="B42" s="3" t="s">
        <v>276</v>
      </c>
      <c r="C42" s="3" t="s">
        <v>281</v>
      </c>
      <c r="D42" s="3" t="s">
        <v>282</v>
      </c>
      <c r="E42" s="3" t="s">
        <v>283</v>
      </c>
      <c r="F42" s="3" t="s">
        <v>116</v>
      </c>
    </row>
    <row r="43" customFormat="false" ht="15" hidden="false" customHeight="true" outlineLevel="0" collapsed="false">
      <c r="A43" s="3" t="s">
        <v>284</v>
      </c>
      <c r="B43" s="3" t="s">
        <v>276</v>
      </c>
      <c r="C43" s="3" t="s">
        <v>285</v>
      </c>
      <c r="D43" s="3" t="s">
        <v>286</v>
      </c>
      <c r="E43" s="3" t="s">
        <v>287</v>
      </c>
      <c r="F43" s="3" t="s">
        <v>116</v>
      </c>
    </row>
    <row r="44" customFormat="false" ht="15" hidden="false" customHeight="true" outlineLevel="0" collapsed="false">
      <c r="A44" s="3" t="s">
        <v>288</v>
      </c>
      <c r="B44" s="3" t="s">
        <v>276</v>
      </c>
      <c r="C44" s="3" t="s">
        <v>289</v>
      </c>
      <c r="D44" s="3" t="s">
        <v>290</v>
      </c>
      <c r="E44" s="3" t="s">
        <v>291</v>
      </c>
      <c r="F44" s="3" t="s">
        <v>116</v>
      </c>
    </row>
    <row r="45" customFormat="false" ht="15" hidden="false" customHeight="true" outlineLevel="0" collapsed="false">
      <c r="A45" s="3" t="s">
        <v>292</v>
      </c>
      <c r="B45" s="3" t="s">
        <v>276</v>
      </c>
      <c r="C45" s="3" t="s">
        <v>293</v>
      </c>
      <c r="D45" s="3" t="s">
        <v>294</v>
      </c>
      <c r="E45" s="3" t="s">
        <v>295</v>
      </c>
      <c r="F45" s="3" t="s">
        <v>116</v>
      </c>
    </row>
    <row r="46" customFormat="false" ht="15" hidden="false" customHeight="true" outlineLevel="0" collapsed="false">
      <c r="A46" s="3" t="s">
        <v>296</v>
      </c>
      <c r="B46" s="3" t="s">
        <v>276</v>
      </c>
      <c r="C46" s="3" t="s">
        <v>297</v>
      </c>
      <c r="D46" s="3" t="s">
        <v>298</v>
      </c>
      <c r="E46" s="3" t="s">
        <v>299</v>
      </c>
      <c r="F46" s="3" t="s">
        <v>116</v>
      </c>
    </row>
    <row r="47" customFormat="false" ht="15" hidden="false" customHeight="true" outlineLevel="0" collapsed="false">
      <c r="A47" s="3" t="s">
        <v>300</v>
      </c>
      <c r="B47" s="3" t="s">
        <v>276</v>
      </c>
      <c r="C47" s="3" t="s">
        <v>301</v>
      </c>
      <c r="D47" s="3" t="s">
        <v>302</v>
      </c>
      <c r="E47" s="3" t="s">
        <v>303</v>
      </c>
      <c r="F47" s="3" t="s">
        <v>116</v>
      </c>
    </row>
    <row r="48" customFormat="false" ht="15" hidden="false" customHeight="true" outlineLevel="0" collapsed="false">
      <c r="A48" s="3" t="s">
        <v>304</v>
      </c>
      <c r="B48" s="3" t="s">
        <v>112</v>
      </c>
      <c r="C48" s="3" t="s">
        <v>305</v>
      </c>
      <c r="D48" s="3" t="s">
        <v>306</v>
      </c>
      <c r="E48" s="3" t="s">
        <v>307</v>
      </c>
      <c r="F48" s="3" t="s">
        <v>116</v>
      </c>
    </row>
    <row r="49" customFormat="false" ht="15" hidden="false" customHeight="true" outlineLevel="0" collapsed="false">
      <c r="A49" s="3" t="s">
        <v>308</v>
      </c>
      <c r="B49" s="3" t="s">
        <v>147</v>
      </c>
      <c r="C49" s="3" t="s">
        <v>309</v>
      </c>
      <c r="D49" s="3" t="s">
        <v>310</v>
      </c>
      <c r="E49" s="3" t="s">
        <v>311</v>
      </c>
      <c r="F49" s="3" t="s">
        <v>116</v>
      </c>
    </row>
    <row r="50" customFormat="false" ht="15" hidden="false" customHeight="true" outlineLevel="0" collapsed="false">
      <c r="A50" s="3" t="s">
        <v>312</v>
      </c>
      <c r="B50" s="3" t="s">
        <v>180</v>
      </c>
      <c r="C50" s="3" t="s">
        <v>313</v>
      </c>
      <c r="D50" s="3" t="s">
        <v>314</v>
      </c>
      <c r="E50" s="3" t="s">
        <v>315</v>
      </c>
      <c r="F50" s="3" t="s">
        <v>116</v>
      </c>
    </row>
    <row r="51" customFormat="false" ht="15" hidden="false" customHeight="true" outlineLevel="0" collapsed="false">
      <c r="A51" s="3" t="s">
        <v>316</v>
      </c>
      <c r="B51" s="3" t="s">
        <v>201</v>
      </c>
      <c r="C51" s="3" t="s">
        <v>317</v>
      </c>
      <c r="D51" s="3" t="s">
        <v>318</v>
      </c>
      <c r="E51" s="3" t="s">
        <v>319</v>
      </c>
      <c r="F51" s="3" t="s">
        <v>116</v>
      </c>
    </row>
    <row r="52" customFormat="false" ht="15" hidden="false" customHeight="true" outlineLevel="0" collapsed="false">
      <c r="A52" s="3" t="s">
        <v>320</v>
      </c>
      <c r="B52" s="3" t="s">
        <v>230</v>
      </c>
      <c r="C52" s="3" t="s">
        <v>321</v>
      </c>
      <c r="D52" s="3" t="s">
        <v>322</v>
      </c>
      <c r="E52" s="3" t="s">
        <v>323</v>
      </c>
      <c r="F52" s="3" t="s">
        <v>116</v>
      </c>
    </row>
    <row r="53" customFormat="false" ht="15" hidden="false" customHeight="true" outlineLevel="0" collapsed="false">
      <c r="A53" s="3" t="s">
        <v>324</v>
      </c>
      <c r="B53" s="3" t="s">
        <v>259</v>
      </c>
      <c r="C53" s="3" t="s">
        <v>325</v>
      </c>
      <c r="D53" s="3" t="s">
        <v>326</v>
      </c>
      <c r="E53" s="3" t="s">
        <v>327</v>
      </c>
      <c r="F53" s="3" t="s">
        <v>116</v>
      </c>
    </row>
    <row r="54" customFormat="false" ht="15" hidden="false" customHeight="true" outlineLevel="0" collapsed="false">
      <c r="A54" s="3" t="s">
        <v>328</v>
      </c>
      <c r="B54" s="3" t="s">
        <v>276</v>
      </c>
      <c r="C54" s="3" t="s">
        <v>329</v>
      </c>
      <c r="D54" s="3" t="s">
        <v>330</v>
      </c>
      <c r="E54" s="3" t="s">
        <v>331</v>
      </c>
      <c r="F54" s="3" t="s">
        <v>116</v>
      </c>
    </row>
    <row r="55" customFormat="false" ht="15" hidden="false" customHeight="true" outlineLevel="0" collapsed="false">
      <c r="A55" s="3" t="s">
        <v>332</v>
      </c>
      <c r="B55" s="3" t="s">
        <v>112</v>
      </c>
      <c r="C55" s="3" t="s">
        <v>333</v>
      </c>
      <c r="D55" s="3" t="s">
        <v>334</v>
      </c>
      <c r="E55" s="3" t="s">
        <v>335</v>
      </c>
      <c r="F55" s="3" t="s">
        <v>116</v>
      </c>
    </row>
    <row r="56" customFormat="false" ht="15" hidden="false" customHeight="true" outlineLevel="0" collapsed="false">
      <c r="A56" s="3" t="s">
        <v>336</v>
      </c>
      <c r="B56" s="3" t="s">
        <v>147</v>
      </c>
      <c r="C56" s="3" t="s">
        <v>337</v>
      </c>
      <c r="D56" s="3" t="s">
        <v>338</v>
      </c>
      <c r="E56" s="3" t="s">
        <v>339</v>
      </c>
      <c r="F56" s="3" t="s">
        <v>116</v>
      </c>
    </row>
  </sheetData>
  <autoFilter ref="A1:F5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52"/>
    <col collapsed="false" customWidth="true" hidden="false" outlineLevel="0" max="3" min="3" style="1" width="48"/>
  </cols>
  <sheetData>
    <row r="1" customFormat="false" ht="15" hidden="false" customHeight="true" outlineLevel="0" collapsed="false">
      <c r="A1" s="2" t="s">
        <v>340</v>
      </c>
      <c r="B1" s="2" t="s">
        <v>38</v>
      </c>
      <c r="C1" s="2" t="s">
        <v>341</v>
      </c>
    </row>
    <row r="2" customFormat="false" ht="15" hidden="false" customHeight="true" outlineLevel="0" collapsed="false">
      <c r="A2" s="3" t="s">
        <v>43</v>
      </c>
      <c r="B2" s="3" t="s">
        <v>15</v>
      </c>
      <c r="C2" s="3" t="s">
        <v>342</v>
      </c>
    </row>
    <row r="3" customFormat="false" ht="15" hidden="false" customHeight="true" outlineLevel="0" collapsed="false">
      <c r="A3" s="3" t="s">
        <v>48</v>
      </c>
      <c r="B3" s="3" t="s">
        <v>50</v>
      </c>
      <c r="C3" s="3" t="s">
        <v>343</v>
      </c>
    </row>
    <row r="4" customFormat="false" ht="15" hidden="false" customHeight="true" outlineLevel="0" collapsed="false">
      <c r="A4" s="3" t="s">
        <v>54</v>
      </c>
      <c r="B4" s="3" t="s">
        <v>344</v>
      </c>
      <c r="C4" s="3" t="s">
        <v>345</v>
      </c>
    </row>
    <row r="5" customFormat="false" ht="15" hidden="false" customHeight="true" outlineLevel="0" collapsed="false">
      <c r="A5" s="3" t="s">
        <v>59</v>
      </c>
      <c r="B5" s="3" t="s">
        <v>346</v>
      </c>
      <c r="C5" s="3" t="s">
        <v>347</v>
      </c>
    </row>
    <row r="6" customFormat="false" ht="15" hidden="false" customHeight="true" outlineLevel="0" collapsed="false">
      <c r="A6" s="3" t="s">
        <v>64</v>
      </c>
      <c r="B6" s="3" t="s">
        <v>348</v>
      </c>
      <c r="C6" s="3" t="s">
        <v>349</v>
      </c>
    </row>
    <row r="7" customFormat="false" ht="15" hidden="false" customHeight="true" outlineLevel="0" collapsed="false">
      <c r="A7" s="3" t="s">
        <v>70</v>
      </c>
      <c r="B7" s="3" t="s">
        <v>72</v>
      </c>
      <c r="C7" s="3" t="s">
        <v>350</v>
      </c>
    </row>
    <row r="8" customFormat="false" ht="15" hidden="false" customHeight="true" outlineLevel="0" collapsed="false">
      <c r="A8" s="3" t="s">
        <v>76</v>
      </c>
      <c r="B8" s="3" t="s">
        <v>351</v>
      </c>
      <c r="C8" s="3" t="s">
        <v>352</v>
      </c>
    </row>
    <row r="9" customFormat="false" ht="15" hidden="false" customHeight="true" outlineLevel="0" collapsed="false">
      <c r="A9" s="3" t="s">
        <v>82</v>
      </c>
      <c r="B9" s="3" t="s">
        <v>84</v>
      </c>
      <c r="C9" s="3" t="s">
        <v>353</v>
      </c>
    </row>
    <row r="10" customFormat="false" ht="15" hidden="false" customHeight="true" outlineLevel="0" collapsed="false">
      <c r="A10" s="3" t="s">
        <v>88</v>
      </c>
      <c r="B10" s="3" t="s">
        <v>90</v>
      </c>
      <c r="C10" s="3" t="s">
        <v>354</v>
      </c>
    </row>
    <row r="12" customFormat="false" ht="15" hidden="false" customHeight="true" outlineLevel="0" collapsed="false">
      <c r="A12" s="5" t="s">
        <v>355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3"/>
    <col collapsed="false" customWidth="true" hidden="false" outlineLevel="0" max="3" min="3" style="0" width="20"/>
    <col collapsed="false" customWidth="true" hidden="false" outlineLevel="0" max="4" min="4" style="0" width="46"/>
    <col collapsed="false" customWidth="true" hidden="false" outlineLevel="0" max="6" min="5" style="0" width="11"/>
    <col collapsed="false" customWidth="true" hidden="false" outlineLevel="0" max="7" min="7" style="0" width="12"/>
  </cols>
  <sheetData>
    <row r="1" customFormat="false" ht="15" hidden="false" customHeight="false" outlineLevel="0" collapsed="false">
      <c r="A1" s="2" t="s">
        <v>356</v>
      </c>
      <c r="B1" s="2" t="s">
        <v>357</v>
      </c>
      <c r="C1" s="2" t="s">
        <v>106</v>
      </c>
      <c r="D1" s="2" t="s">
        <v>358</v>
      </c>
      <c r="E1" s="2" t="s">
        <v>359</v>
      </c>
      <c r="F1" s="2" t="s">
        <v>360</v>
      </c>
      <c r="G1" s="2" t="s">
        <v>110</v>
      </c>
    </row>
    <row r="2" customFormat="false" ht="23.85" hidden="false" customHeight="false" outlineLevel="0" collapsed="false">
      <c r="A2" s="3" t="s">
        <v>361</v>
      </c>
      <c r="B2" s="3" t="s">
        <v>133</v>
      </c>
      <c r="C2" s="3" t="s">
        <v>112</v>
      </c>
      <c r="D2" s="3" t="s">
        <v>362</v>
      </c>
      <c r="E2" s="3" t="s">
        <v>363</v>
      </c>
      <c r="F2" s="3" t="s">
        <v>364</v>
      </c>
      <c r="G2" s="3" t="s">
        <v>365</v>
      </c>
    </row>
    <row r="3" customFormat="false" ht="23.85" hidden="false" customHeight="false" outlineLevel="0" collapsed="false">
      <c r="A3" s="3" t="s">
        <v>366</v>
      </c>
      <c r="B3" s="3" t="s">
        <v>196</v>
      </c>
      <c r="C3" s="3" t="s">
        <v>180</v>
      </c>
      <c r="D3" s="3" t="s">
        <v>367</v>
      </c>
      <c r="E3" s="3" t="s">
        <v>363</v>
      </c>
      <c r="F3" s="3" t="s">
        <v>364</v>
      </c>
      <c r="G3" s="3" t="s">
        <v>365</v>
      </c>
    </row>
    <row r="4" customFormat="false" ht="23.85" hidden="false" customHeight="false" outlineLevel="0" collapsed="false">
      <c r="A4" s="3" t="s">
        <v>368</v>
      </c>
      <c r="B4" s="3" t="s">
        <v>246</v>
      </c>
      <c r="C4" s="3" t="s">
        <v>230</v>
      </c>
      <c r="D4" s="3" t="s">
        <v>369</v>
      </c>
      <c r="E4" s="3" t="s">
        <v>363</v>
      </c>
      <c r="F4" s="3" t="s">
        <v>364</v>
      </c>
      <c r="G4" s="3" t="s">
        <v>365</v>
      </c>
    </row>
    <row r="5" customFormat="false" ht="23.85" hidden="false" customHeight="false" outlineLevel="0" collapsed="false">
      <c r="A5" s="3" t="s">
        <v>370</v>
      </c>
      <c r="B5" s="3" t="s">
        <v>271</v>
      </c>
      <c r="C5" s="3" t="s">
        <v>259</v>
      </c>
      <c r="D5" s="3" t="s">
        <v>371</v>
      </c>
      <c r="E5" s="3" t="s">
        <v>363</v>
      </c>
      <c r="F5" s="3" t="s">
        <v>372</v>
      </c>
      <c r="G5" s="3" t="s">
        <v>365</v>
      </c>
    </row>
    <row r="6" customFormat="false" ht="23.85" hidden="false" customHeight="false" outlineLevel="0" collapsed="false">
      <c r="A6" s="3" t="s">
        <v>373</v>
      </c>
      <c r="B6" s="3" t="s">
        <v>374</v>
      </c>
      <c r="C6" s="3" t="s">
        <v>230</v>
      </c>
      <c r="D6" s="3" t="s">
        <v>375</v>
      </c>
      <c r="E6" s="3" t="s">
        <v>363</v>
      </c>
      <c r="F6" s="3" t="s">
        <v>364</v>
      </c>
      <c r="G6" s="3" t="s">
        <v>376</v>
      </c>
    </row>
    <row r="7" customFormat="false" ht="23.85" hidden="false" customHeight="false" outlineLevel="0" collapsed="false">
      <c r="A7" s="3" t="s">
        <v>377</v>
      </c>
      <c r="B7" s="3" t="s">
        <v>374</v>
      </c>
      <c r="C7" s="3" t="s">
        <v>147</v>
      </c>
      <c r="D7" s="3" t="s">
        <v>378</v>
      </c>
      <c r="E7" s="3" t="s">
        <v>363</v>
      </c>
      <c r="F7" s="3" t="s">
        <v>372</v>
      </c>
      <c r="G7" s="3" t="s">
        <v>376</v>
      </c>
    </row>
    <row r="8" customFormat="false" ht="15" hidden="false" customHeight="false" outlineLevel="0" collapsed="false">
      <c r="A8" s="3" t="s">
        <v>379</v>
      </c>
      <c r="B8" s="3" t="s">
        <v>374</v>
      </c>
      <c r="C8" s="3" t="s">
        <v>201</v>
      </c>
      <c r="D8" s="3" t="s">
        <v>380</v>
      </c>
      <c r="E8" s="3" t="s">
        <v>363</v>
      </c>
      <c r="F8" s="3" t="s">
        <v>364</v>
      </c>
      <c r="G8" s="3" t="s">
        <v>365</v>
      </c>
    </row>
    <row r="9" customFormat="false" ht="15" hidden="false" customHeight="false" outlineLevel="0" collapsed="false">
      <c r="A9" s="3" t="s">
        <v>381</v>
      </c>
      <c r="B9" s="3" t="s">
        <v>374</v>
      </c>
      <c r="C9" s="3" t="s">
        <v>276</v>
      </c>
      <c r="D9" s="3" t="s">
        <v>382</v>
      </c>
      <c r="E9" s="3" t="s">
        <v>363</v>
      </c>
      <c r="F9" s="3" t="s">
        <v>372</v>
      </c>
      <c r="G9" s="3" t="s">
        <v>376</v>
      </c>
    </row>
    <row r="10" customFormat="false" ht="23.85" hidden="false" customHeight="false" outlineLevel="0" collapsed="false">
      <c r="A10" s="3" t="s">
        <v>383</v>
      </c>
      <c r="B10" s="3" t="s">
        <v>374</v>
      </c>
      <c r="C10" s="3" t="s">
        <v>112</v>
      </c>
      <c r="D10" s="3" t="s">
        <v>384</v>
      </c>
      <c r="E10" s="3" t="s">
        <v>363</v>
      </c>
      <c r="F10" s="3" t="s">
        <v>364</v>
      </c>
      <c r="G10" s="3" t="s">
        <v>365</v>
      </c>
    </row>
    <row r="11" customFormat="false" ht="15" hidden="false" customHeight="false" outlineLevel="0" collapsed="false">
      <c r="A11" s="3" t="s">
        <v>385</v>
      </c>
      <c r="B11" s="3" t="s">
        <v>374</v>
      </c>
      <c r="C11" s="3" t="s">
        <v>147</v>
      </c>
      <c r="D11" s="3" t="s">
        <v>386</v>
      </c>
      <c r="E11" s="3" t="s">
        <v>364</v>
      </c>
      <c r="F11" s="3" t="s">
        <v>372</v>
      </c>
      <c r="G11" s="3" t="s">
        <v>365</v>
      </c>
    </row>
    <row r="12" customFormat="false" ht="15" hidden="false" customHeight="false" outlineLevel="0" collapsed="false">
      <c r="A12" s="3" t="s">
        <v>387</v>
      </c>
      <c r="B12" s="3" t="s">
        <v>374</v>
      </c>
      <c r="C12" s="3" t="s">
        <v>180</v>
      </c>
      <c r="D12" s="3" t="s">
        <v>388</v>
      </c>
      <c r="E12" s="3" t="s">
        <v>364</v>
      </c>
      <c r="F12" s="3" t="s">
        <v>389</v>
      </c>
      <c r="G12" s="3" t="s">
        <v>365</v>
      </c>
    </row>
    <row r="13" customFormat="false" ht="23.85" hidden="false" customHeight="false" outlineLevel="0" collapsed="false">
      <c r="A13" s="3" t="s">
        <v>390</v>
      </c>
      <c r="B13" s="3" t="s">
        <v>374</v>
      </c>
      <c r="C13" s="3" t="s">
        <v>201</v>
      </c>
      <c r="D13" s="3" t="s">
        <v>391</v>
      </c>
      <c r="E13" s="3" t="s">
        <v>364</v>
      </c>
      <c r="F13" s="3" t="s">
        <v>372</v>
      </c>
      <c r="G13" s="3" t="s">
        <v>365</v>
      </c>
    </row>
    <row r="14" customFormat="false" ht="15" hidden="false" customHeight="false" outlineLevel="0" collapsed="false">
      <c r="A14" s="3" t="s">
        <v>392</v>
      </c>
      <c r="B14" s="3" t="s">
        <v>374</v>
      </c>
      <c r="C14" s="3" t="s">
        <v>230</v>
      </c>
      <c r="D14" s="3" t="s">
        <v>393</v>
      </c>
      <c r="E14" s="3" t="s">
        <v>364</v>
      </c>
      <c r="F14" s="3" t="s">
        <v>372</v>
      </c>
      <c r="G14" s="3" t="s">
        <v>376</v>
      </c>
    </row>
    <row r="15" customFormat="false" ht="23.85" hidden="false" customHeight="false" outlineLevel="0" collapsed="false">
      <c r="A15" s="3" t="s">
        <v>394</v>
      </c>
      <c r="B15" s="3" t="s">
        <v>374</v>
      </c>
      <c r="C15" s="3" t="s">
        <v>259</v>
      </c>
      <c r="D15" s="3" t="s">
        <v>395</v>
      </c>
      <c r="E15" s="3" t="s">
        <v>364</v>
      </c>
      <c r="F15" s="3" t="s">
        <v>372</v>
      </c>
      <c r="G15" s="3" t="s">
        <v>365</v>
      </c>
    </row>
    <row r="16" customFormat="false" ht="15" hidden="false" customHeight="false" outlineLevel="0" collapsed="false">
      <c r="A16" s="3" t="s">
        <v>396</v>
      </c>
      <c r="B16" s="3" t="s">
        <v>374</v>
      </c>
      <c r="C16" s="3" t="s">
        <v>276</v>
      </c>
      <c r="D16" s="3" t="s">
        <v>397</v>
      </c>
      <c r="E16" s="3" t="s">
        <v>364</v>
      </c>
      <c r="F16" s="3" t="s">
        <v>389</v>
      </c>
      <c r="G16" s="3" t="s">
        <v>365</v>
      </c>
    </row>
    <row r="17" customFormat="false" ht="23.85" hidden="false" customHeight="false" outlineLevel="0" collapsed="false">
      <c r="A17" s="3" t="s">
        <v>398</v>
      </c>
      <c r="B17" s="3" t="s">
        <v>374</v>
      </c>
      <c r="C17" s="3" t="s">
        <v>112</v>
      </c>
      <c r="D17" s="3" t="s">
        <v>399</v>
      </c>
      <c r="E17" s="3" t="s">
        <v>372</v>
      </c>
      <c r="F17" s="3" t="s">
        <v>389</v>
      </c>
      <c r="G17" s="3" t="s">
        <v>365</v>
      </c>
    </row>
    <row r="18" customFormat="false" ht="15" hidden="false" customHeight="false" outlineLevel="0" collapsed="false">
      <c r="A18" s="3" t="s">
        <v>400</v>
      </c>
      <c r="B18" s="3" t="s">
        <v>374</v>
      </c>
      <c r="C18" s="3" t="s">
        <v>147</v>
      </c>
      <c r="D18" s="3" t="s">
        <v>401</v>
      </c>
      <c r="E18" s="3" t="s">
        <v>372</v>
      </c>
      <c r="F18" s="3" t="s">
        <v>389</v>
      </c>
      <c r="G18" s="3" t="s">
        <v>365</v>
      </c>
    </row>
    <row r="19" customFormat="false" ht="15" hidden="false" customHeight="false" outlineLevel="0" collapsed="false">
      <c r="A19" s="3" t="s">
        <v>402</v>
      </c>
      <c r="B19" s="3" t="s">
        <v>374</v>
      </c>
      <c r="C19" s="3" t="s">
        <v>180</v>
      </c>
      <c r="D19" s="3" t="s">
        <v>403</v>
      </c>
      <c r="E19" s="3" t="s">
        <v>372</v>
      </c>
      <c r="F19" s="3" t="s">
        <v>389</v>
      </c>
      <c r="G19" s="3" t="s">
        <v>365</v>
      </c>
    </row>
    <row r="20" customFormat="false" ht="15" hidden="false" customHeight="false" outlineLevel="0" collapsed="false">
      <c r="A20" s="3" t="s">
        <v>404</v>
      </c>
      <c r="B20" s="3" t="s">
        <v>374</v>
      </c>
      <c r="C20" s="3" t="s">
        <v>201</v>
      </c>
      <c r="D20" s="3" t="s">
        <v>405</v>
      </c>
      <c r="E20" s="3" t="s">
        <v>389</v>
      </c>
      <c r="F20" s="3" t="s">
        <v>389</v>
      </c>
      <c r="G20" s="3" t="s">
        <v>365</v>
      </c>
    </row>
    <row r="21" customFormat="false" ht="15" hidden="false" customHeight="false" outlineLevel="0" collapsed="false">
      <c r="A21" s="3" t="s">
        <v>406</v>
      </c>
      <c r="B21" s="3" t="s">
        <v>374</v>
      </c>
      <c r="C21" s="3" t="s">
        <v>276</v>
      </c>
      <c r="D21" s="3" t="s">
        <v>407</v>
      </c>
      <c r="E21" s="3" t="s">
        <v>389</v>
      </c>
      <c r="F21" s="3" t="s">
        <v>389</v>
      </c>
      <c r="G21" s="3" t="s">
        <v>365</v>
      </c>
    </row>
    <row r="22" customFormat="false" ht="126.85" hidden="false" customHeight="false" outlineLevel="0" collapsed="false">
      <c r="A22" s="7" t="s">
        <v>408</v>
      </c>
    </row>
  </sheetData>
  <autoFilter ref="A1:G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48"/>
    <col collapsed="false" customWidth="true" hidden="false" outlineLevel="0" max="3" min="3" style="0" width="20"/>
    <col collapsed="false" customWidth="true" hidden="false" outlineLevel="0" max="4" min="4" style="0" width="34"/>
    <col collapsed="false" customWidth="true" hidden="false" outlineLevel="0" max="5" min="5" style="0" width="12"/>
  </cols>
  <sheetData>
    <row r="1" customFormat="false" ht="23.85" hidden="false" customHeight="false" outlineLevel="0" collapsed="false">
      <c r="A1" s="2" t="s">
        <v>409</v>
      </c>
      <c r="B1" s="2" t="s">
        <v>410</v>
      </c>
      <c r="C1" s="2" t="s">
        <v>106</v>
      </c>
      <c r="D1" s="2" t="s">
        <v>411</v>
      </c>
      <c r="E1" s="2" t="s">
        <v>412</v>
      </c>
    </row>
    <row r="2" customFormat="false" ht="15" hidden="false" customHeight="false" outlineLevel="0" collapsed="false">
      <c r="A2" s="3" t="s">
        <v>413</v>
      </c>
      <c r="B2" s="3" t="s">
        <v>414</v>
      </c>
      <c r="C2" s="3" t="s">
        <v>112</v>
      </c>
      <c r="D2" s="3" t="s">
        <v>415</v>
      </c>
      <c r="E2" s="3" t="s">
        <v>416</v>
      </c>
    </row>
    <row r="3" customFormat="false" ht="15" hidden="false" customHeight="false" outlineLevel="0" collapsed="false">
      <c r="A3" s="3" t="s">
        <v>417</v>
      </c>
      <c r="B3" s="3" t="s">
        <v>418</v>
      </c>
      <c r="C3" s="3" t="s">
        <v>112</v>
      </c>
      <c r="D3" s="3" t="s">
        <v>419</v>
      </c>
      <c r="E3" s="3" t="s">
        <v>416</v>
      </c>
    </row>
    <row r="4" customFormat="false" ht="15" hidden="false" customHeight="false" outlineLevel="0" collapsed="false">
      <c r="A4" s="3" t="s">
        <v>420</v>
      </c>
      <c r="B4" s="3" t="s">
        <v>421</v>
      </c>
      <c r="C4" s="3" t="s">
        <v>112</v>
      </c>
      <c r="D4" s="3" t="s">
        <v>332</v>
      </c>
      <c r="E4" s="3" t="s">
        <v>416</v>
      </c>
    </row>
    <row r="5" customFormat="false" ht="15" hidden="false" customHeight="false" outlineLevel="0" collapsed="false">
      <c r="A5" s="3" t="s">
        <v>422</v>
      </c>
      <c r="B5" s="3" t="s">
        <v>423</v>
      </c>
      <c r="C5" s="3" t="s">
        <v>112</v>
      </c>
      <c r="D5" s="3" t="s">
        <v>142</v>
      </c>
      <c r="E5" s="3" t="s">
        <v>416</v>
      </c>
    </row>
    <row r="6" customFormat="false" ht="15" hidden="false" customHeight="false" outlineLevel="0" collapsed="false">
      <c r="A6" s="3" t="s">
        <v>424</v>
      </c>
      <c r="B6" s="3" t="s">
        <v>425</v>
      </c>
      <c r="C6" s="3" t="s">
        <v>147</v>
      </c>
      <c r="D6" s="3" t="s">
        <v>426</v>
      </c>
      <c r="E6" s="3" t="s">
        <v>416</v>
      </c>
    </row>
    <row r="7" customFormat="false" ht="15" hidden="false" customHeight="false" outlineLevel="0" collapsed="false">
      <c r="A7" s="3" t="s">
        <v>427</v>
      </c>
      <c r="B7" s="3" t="s">
        <v>428</v>
      </c>
      <c r="C7" s="3" t="s">
        <v>147</v>
      </c>
      <c r="D7" s="3" t="s">
        <v>429</v>
      </c>
      <c r="E7" s="3" t="s">
        <v>416</v>
      </c>
    </row>
    <row r="8" customFormat="false" ht="15" hidden="false" customHeight="false" outlineLevel="0" collapsed="false">
      <c r="A8" s="3" t="s">
        <v>430</v>
      </c>
      <c r="B8" s="3" t="s">
        <v>431</v>
      </c>
      <c r="C8" s="3" t="s">
        <v>147</v>
      </c>
      <c r="D8" s="3" t="s">
        <v>308</v>
      </c>
      <c r="E8" s="3" t="s">
        <v>416</v>
      </c>
    </row>
    <row r="9" customFormat="false" ht="15" hidden="false" customHeight="false" outlineLevel="0" collapsed="false">
      <c r="A9" s="3" t="s">
        <v>432</v>
      </c>
      <c r="B9" s="3" t="s">
        <v>433</v>
      </c>
      <c r="C9" s="3" t="s">
        <v>147</v>
      </c>
      <c r="D9" s="3" t="s">
        <v>336</v>
      </c>
      <c r="E9" s="3" t="s">
        <v>416</v>
      </c>
    </row>
    <row r="10" customFormat="false" ht="15" hidden="false" customHeight="false" outlineLevel="0" collapsed="false">
      <c r="A10" s="3" t="s">
        <v>434</v>
      </c>
      <c r="B10" s="3" t="s">
        <v>435</v>
      </c>
      <c r="C10" s="3" t="s">
        <v>180</v>
      </c>
      <c r="D10" s="3" t="s">
        <v>436</v>
      </c>
      <c r="E10" s="3" t="s">
        <v>416</v>
      </c>
    </row>
    <row r="11" customFormat="false" ht="15" hidden="false" customHeight="false" outlineLevel="0" collapsed="false">
      <c r="A11" s="3" t="s">
        <v>437</v>
      </c>
      <c r="B11" s="3" t="s">
        <v>438</v>
      </c>
      <c r="C11" s="3" t="s">
        <v>180</v>
      </c>
      <c r="D11" s="3" t="s">
        <v>439</v>
      </c>
      <c r="E11" s="3" t="s">
        <v>416</v>
      </c>
    </row>
    <row r="12" customFormat="false" ht="15" hidden="false" customHeight="false" outlineLevel="0" collapsed="false">
      <c r="A12" s="3" t="s">
        <v>440</v>
      </c>
      <c r="B12" s="3" t="s">
        <v>441</v>
      </c>
      <c r="C12" s="3" t="s">
        <v>201</v>
      </c>
      <c r="D12" s="3" t="s">
        <v>442</v>
      </c>
      <c r="E12" s="3" t="s">
        <v>416</v>
      </c>
    </row>
    <row r="13" customFormat="false" ht="15" hidden="false" customHeight="false" outlineLevel="0" collapsed="false">
      <c r="A13" s="3" t="s">
        <v>443</v>
      </c>
      <c r="B13" s="3" t="s">
        <v>444</v>
      </c>
      <c r="C13" s="3" t="s">
        <v>201</v>
      </c>
      <c r="D13" s="3" t="s">
        <v>209</v>
      </c>
      <c r="E13" s="3" t="s">
        <v>416</v>
      </c>
    </row>
    <row r="14" customFormat="false" ht="15" hidden="false" customHeight="false" outlineLevel="0" collapsed="false">
      <c r="A14" s="3" t="s">
        <v>445</v>
      </c>
      <c r="B14" s="3" t="s">
        <v>446</v>
      </c>
      <c r="C14" s="3" t="s">
        <v>201</v>
      </c>
      <c r="D14" s="3" t="s">
        <v>447</v>
      </c>
      <c r="E14" s="3" t="s">
        <v>416</v>
      </c>
    </row>
    <row r="15" customFormat="false" ht="15" hidden="false" customHeight="false" outlineLevel="0" collapsed="false">
      <c r="A15" s="3" t="s">
        <v>448</v>
      </c>
      <c r="B15" s="3" t="s">
        <v>449</v>
      </c>
      <c r="C15" s="3" t="s">
        <v>201</v>
      </c>
      <c r="D15" s="3" t="s">
        <v>316</v>
      </c>
      <c r="E15" s="3" t="s">
        <v>416</v>
      </c>
    </row>
    <row r="16" customFormat="false" ht="23.85" hidden="false" customHeight="false" outlineLevel="0" collapsed="false">
      <c r="A16" s="3" t="s">
        <v>450</v>
      </c>
      <c r="B16" s="3" t="s">
        <v>451</v>
      </c>
      <c r="C16" s="3" t="s">
        <v>230</v>
      </c>
      <c r="D16" s="3" t="s">
        <v>452</v>
      </c>
      <c r="E16" s="3" t="s">
        <v>416</v>
      </c>
    </row>
    <row r="17" customFormat="false" ht="23.85" hidden="false" customHeight="false" outlineLevel="0" collapsed="false">
      <c r="A17" s="3" t="s">
        <v>453</v>
      </c>
      <c r="B17" s="3" t="s">
        <v>454</v>
      </c>
      <c r="C17" s="3" t="s">
        <v>230</v>
      </c>
      <c r="D17" s="3" t="s">
        <v>455</v>
      </c>
      <c r="E17" s="3" t="s">
        <v>416</v>
      </c>
    </row>
    <row r="18" customFormat="false" ht="15" hidden="false" customHeight="false" outlineLevel="0" collapsed="false">
      <c r="A18" s="3" t="s">
        <v>456</v>
      </c>
      <c r="B18" s="3" t="s">
        <v>457</v>
      </c>
      <c r="C18" s="3" t="s">
        <v>230</v>
      </c>
      <c r="D18" s="3" t="s">
        <v>458</v>
      </c>
      <c r="E18" s="3" t="s">
        <v>416</v>
      </c>
    </row>
    <row r="19" customFormat="false" ht="15" hidden="false" customHeight="false" outlineLevel="0" collapsed="false">
      <c r="A19" s="3" t="s">
        <v>459</v>
      </c>
      <c r="B19" s="3" t="s">
        <v>460</v>
      </c>
      <c r="C19" s="3" t="s">
        <v>259</v>
      </c>
      <c r="D19" s="3" t="s">
        <v>461</v>
      </c>
      <c r="E19" s="3" t="s">
        <v>416</v>
      </c>
    </row>
    <row r="20" customFormat="false" ht="15" hidden="false" customHeight="false" outlineLevel="0" collapsed="false">
      <c r="A20" s="3" t="s">
        <v>462</v>
      </c>
      <c r="B20" s="3" t="s">
        <v>463</v>
      </c>
      <c r="C20" s="3" t="s">
        <v>259</v>
      </c>
      <c r="D20" s="3" t="s">
        <v>271</v>
      </c>
      <c r="E20" s="3" t="s">
        <v>416</v>
      </c>
    </row>
    <row r="21" customFormat="false" ht="15" hidden="false" customHeight="false" outlineLevel="0" collapsed="false">
      <c r="A21" s="3" t="s">
        <v>464</v>
      </c>
      <c r="B21" s="3" t="s">
        <v>465</v>
      </c>
      <c r="C21" s="3" t="s">
        <v>276</v>
      </c>
      <c r="D21" s="3" t="s">
        <v>466</v>
      </c>
      <c r="E21" s="3" t="s">
        <v>416</v>
      </c>
    </row>
    <row r="22" customFormat="false" ht="15" hidden="false" customHeight="false" outlineLevel="0" collapsed="false">
      <c r="A22" s="3" t="s">
        <v>467</v>
      </c>
      <c r="B22" s="3" t="s">
        <v>468</v>
      </c>
      <c r="C22" s="3" t="s">
        <v>276</v>
      </c>
      <c r="D22" s="3" t="s">
        <v>469</v>
      </c>
      <c r="E22" s="3" t="s">
        <v>416</v>
      </c>
    </row>
    <row r="23" customFormat="false" ht="15" hidden="false" customHeight="false" outlineLevel="0" collapsed="false">
      <c r="A23" s="3" t="s">
        <v>470</v>
      </c>
      <c r="B23" s="3" t="s">
        <v>471</v>
      </c>
      <c r="C23" s="3" t="s">
        <v>276</v>
      </c>
      <c r="D23" s="3" t="s">
        <v>472</v>
      </c>
      <c r="E23" s="3" t="s">
        <v>416</v>
      </c>
    </row>
    <row r="24" customFormat="false" ht="15" hidden="false" customHeight="false" outlineLevel="0" collapsed="false">
      <c r="A24" s="3" t="s">
        <v>473</v>
      </c>
      <c r="B24" s="3" t="s">
        <v>474</v>
      </c>
      <c r="C24" s="3" t="s">
        <v>475</v>
      </c>
      <c r="D24" s="3" t="s">
        <v>374</v>
      </c>
      <c r="E24" s="3" t="s">
        <v>476</v>
      </c>
    </row>
    <row r="25" customFormat="false" ht="116.4" hidden="false" customHeight="false" outlineLevel="0" collapsed="false">
      <c r="A25" s="7" t="s">
        <v>477</v>
      </c>
    </row>
  </sheetData>
  <autoFilter ref="A1:E2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2026-09-24T14:21:52Z</dcterms:created>
  <dc:creator>openpyxl</dc:creator>
  <dc:description/>
  <dc:language>en-US</dc:language>
  <cp:lastModifiedBy/>
  <dcterms:modified xsi:type="dcterms:W3CDTF">2026-09-25T04:22:51Z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